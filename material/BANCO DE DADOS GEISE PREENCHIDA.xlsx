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SÃO PAULO" sheetId="1" r:id="rId1"/>
    <sheet name="RIO DE JANEIRO" sheetId="2" r:id="rId2"/>
    <sheet name="ESPÍRITO SANTO" sheetId="3" r:id="rId3"/>
    <sheet name="MINAS GERAIS" sheetId="4" r:id="rId4"/>
    <sheet name="VACINAÇÃO " sheetId="5" r:id="rId5"/>
    <sheet name="ANÁLISE TEMPORAL" sheetId="6" r:id="rId6"/>
    <sheet name="SOCIODEMOGRAFICO" sheetId="7" r:id="rId7"/>
  </sheets>
  <definedNames>
    <definedName name="_xlnm._FilterDatabase" localSheetId="4" hidden="1">'VACINAÇÃO '!$A$1:$E$249</definedName>
  </definedNames>
  <calcPr calcId="144525"/>
  <extLst>
    <ext uri="GoogleSheetsCustomDataVersion2">
      <go:sheetsCustomData xmlns:go="http://customooxmlschemas.google.com/" r:id="rId11" roundtripDataChecksum="S9IlV5CJF1scVroP2dcY+EzoSDsy9guGUA4WZOlxW4Y="/>
    </ext>
  </extLst>
</workbook>
</file>

<file path=xl/calcChain.xml><?xml version="1.0" encoding="utf-8"?>
<calcChain xmlns="http://schemas.openxmlformats.org/spreadsheetml/2006/main">
  <c r="C103" i="7" l="1"/>
  <c r="C101" i="7"/>
  <c r="C100" i="7"/>
  <c r="C99" i="7"/>
  <c r="C98" i="7"/>
  <c r="C97" i="7"/>
  <c r="C96" i="7"/>
  <c r="C93" i="7"/>
  <c r="C92" i="7"/>
  <c r="C91" i="7"/>
  <c r="C90" i="7"/>
  <c r="C89" i="7"/>
  <c r="C86" i="7"/>
  <c r="C85" i="7"/>
  <c r="C84" i="7"/>
  <c r="C83" i="7"/>
  <c r="C82" i="7"/>
  <c r="C81" i="7"/>
  <c r="C78" i="7"/>
  <c r="C77" i="7"/>
  <c r="C76" i="7"/>
  <c r="C73" i="7"/>
  <c r="C72" i="7"/>
  <c r="C71" i="7"/>
  <c r="C70" i="7"/>
  <c r="C69" i="7"/>
  <c r="C68" i="7"/>
  <c r="C65" i="7"/>
  <c r="C64" i="7"/>
  <c r="C63" i="7"/>
  <c r="C60" i="7"/>
  <c r="C59" i="7"/>
  <c r="C58" i="7"/>
  <c r="C12" i="6"/>
  <c r="C11" i="6"/>
  <c r="C10" i="6"/>
  <c r="C9" i="6"/>
  <c r="C8" i="6"/>
  <c r="C7" i="6"/>
  <c r="C6" i="6"/>
  <c r="C5" i="6"/>
  <c r="C4" i="6"/>
  <c r="C3" i="6"/>
  <c r="C2" i="6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N308" i="4"/>
  <c r="P308" i="4" s="1"/>
  <c r="N307" i="4"/>
  <c r="P307" i="4" s="1"/>
  <c r="P306" i="4"/>
  <c r="N306" i="4"/>
  <c r="N305" i="4"/>
  <c r="P305" i="4" s="1"/>
  <c r="N304" i="4"/>
  <c r="P304" i="4" s="1"/>
  <c r="N303" i="4"/>
  <c r="P303" i="4" s="1"/>
  <c r="N302" i="4"/>
  <c r="P302" i="4" s="1"/>
  <c r="N301" i="4"/>
  <c r="P301" i="4" s="1"/>
  <c r="P300" i="4"/>
  <c r="N300" i="4"/>
  <c r="P299" i="4"/>
  <c r="N299" i="4"/>
  <c r="N298" i="4"/>
  <c r="P298" i="4" s="1"/>
  <c r="P297" i="4"/>
  <c r="N297" i="4"/>
  <c r="N296" i="4"/>
  <c r="P296" i="4" s="1"/>
  <c r="N295" i="4"/>
  <c r="P295" i="4" s="1"/>
  <c r="P294" i="4"/>
  <c r="N294" i="4"/>
  <c r="P293" i="4"/>
  <c r="N293" i="4"/>
  <c r="N292" i="4"/>
  <c r="P292" i="4" s="1"/>
  <c r="N291" i="4"/>
  <c r="P291" i="4" s="1"/>
  <c r="N290" i="4"/>
  <c r="P290" i="4" s="1"/>
  <c r="N289" i="4"/>
  <c r="P289" i="4" s="1"/>
  <c r="P288" i="4"/>
  <c r="N288" i="4"/>
  <c r="P287" i="4"/>
  <c r="N287" i="4"/>
  <c r="N286" i="4"/>
  <c r="P286" i="4" s="1"/>
  <c r="P285" i="4"/>
  <c r="N285" i="4"/>
  <c r="P284" i="4"/>
  <c r="N284" i="4"/>
  <c r="N283" i="4"/>
  <c r="P283" i="4" s="1"/>
  <c r="P282" i="4"/>
  <c r="N282" i="4"/>
  <c r="P281" i="4"/>
  <c r="N281" i="4"/>
  <c r="N280" i="4"/>
  <c r="P280" i="4" s="1"/>
  <c r="P279" i="4"/>
  <c r="N279" i="4"/>
  <c r="N278" i="4"/>
  <c r="P278" i="4" s="1"/>
  <c r="N277" i="4"/>
  <c r="P277" i="4" s="1"/>
  <c r="P276" i="4"/>
  <c r="N276" i="4"/>
  <c r="P275" i="4"/>
  <c r="N275" i="4"/>
  <c r="N274" i="4"/>
  <c r="P274" i="4" s="1"/>
  <c r="N273" i="4"/>
  <c r="P273" i="4" s="1"/>
  <c r="P272" i="4"/>
  <c r="N272" i="4"/>
  <c r="P271" i="4"/>
  <c r="N271" i="4"/>
  <c r="P270" i="4"/>
  <c r="N270" i="4"/>
  <c r="P269" i="4"/>
  <c r="N269" i="4"/>
  <c r="N268" i="4"/>
  <c r="P268" i="4" s="1"/>
  <c r="N267" i="4"/>
  <c r="P267" i="4" s="1"/>
  <c r="P266" i="4"/>
  <c r="N266" i="4"/>
  <c r="N265" i="4"/>
  <c r="P265" i="4" s="1"/>
  <c r="P264" i="4"/>
  <c r="N264" i="4"/>
  <c r="P263" i="4"/>
  <c r="N263" i="4"/>
  <c r="N262" i="4"/>
  <c r="P262" i="4" s="1"/>
  <c r="P261" i="4"/>
  <c r="N261" i="4"/>
  <c r="N260" i="4"/>
  <c r="P260" i="4" s="1"/>
  <c r="P259" i="4"/>
  <c r="N259" i="4"/>
  <c r="P258" i="4"/>
  <c r="N258" i="4"/>
  <c r="P257" i="4"/>
  <c r="N257" i="4"/>
  <c r="N256" i="4"/>
  <c r="P256" i="4" s="1"/>
  <c r="N255" i="4"/>
  <c r="P255" i="4" s="1"/>
  <c r="N254" i="4"/>
  <c r="P254" i="4" s="1"/>
  <c r="P253" i="4"/>
  <c r="N253" i="4"/>
  <c r="P252" i="4"/>
  <c r="N252" i="4"/>
  <c r="P251" i="4"/>
  <c r="N251" i="4"/>
  <c r="N250" i="4"/>
  <c r="P250" i="4" s="1"/>
  <c r="N249" i="4"/>
  <c r="P249" i="4" s="1"/>
  <c r="P248" i="4"/>
  <c r="N248" i="4"/>
  <c r="N247" i="4"/>
  <c r="P247" i="4" s="1"/>
  <c r="P246" i="4"/>
  <c r="N246" i="4"/>
  <c r="P245" i="4"/>
  <c r="N245" i="4"/>
  <c r="N244" i="4"/>
  <c r="P244" i="4" s="1"/>
  <c r="N243" i="4"/>
  <c r="P243" i="4" s="1"/>
  <c r="N242" i="4"/>
  <c r="P242" i="4" s="1"/>
  <c r="N241" i="4"/>
  <c r="P241" i="4" s="1"/>
  <c r="P240" i="4"/>
  <c r="N240" i="4"/>
  <c r="P239" i="4"/>
  <c r="N239" i="4"/>
  <c r="N238" i="4"/>
  <c r="P238" i="4" s="1"/>
  <c r="N237" i="4"/>
  <c r="P237" i="4" s="1"/>
  <c r="N236" i="4"/>
  <c r="P236" i="4" s="1"/>
  <c r="P235" i="4"/>
  <c r="N235" i="4"/>
  <c r="P234" i="4"/>
  <c r="N234" i="4"/>
  <c r="P233" i="4"/>
  <c r="N233" i="4"/>
  <c r="N232" i="4"/>
  <c r="P232" i="4" s="1"/>
  <c r="N231" i="4"/>
  <c r="P231" i="4" s="1"/>
  <c r="N230" i="4"/>
  <c r="P230" i="4" s="1"/>
  <c r="N229" i="4"/>
  <c r="P229" i="4" s="1"/>
  <c r="P228" i="4"/>
  <c r="N228" i="4"/>
  <c r="P227" i="4"/>
  <c r="N227" i="4"/>
  <c r="N226" i="4"/>
  <c r="P226" i="4" s="1"/>
  <c r="P225" i="4"/>
  <c r="N225" i="4"/>
  <c r="N224" i="4"/>
  <c r="P224" i="4" s="1"/>
  <c r="N223" i="4"/>
  <c r="P223" i="4" s="1"/>
  <c r="P222" i="4"/>
  <c r="N222" i="4"/>
  <c r="P221" i="4"/>
  <c r="N221" i="4"/>
  <c r="N220" i="4"/>
  <c r="P220" i="4" s="1"/>
  <c r="N219" i="4"/>
  <c r="P219" i="4" s="1"/>
  <c r="N218" i="4"/>
  <c r="P218" i="4" s="1"/>
  <c r="N217" i="4"/>
  <c r="P217" i="4" s="1"/>
  <c r="P216" i="4"/>
  <c r="N216" i="4"/>
  <c r="P215" i="4"/>
  <c r="N215" i="4"/>
  <c r="N214" i="4"/>
  <c r="P214" i="4" s="1"/>
  <c r="P213" i="4"/>
  <c r="N213" i="4"/>
  <c r="P212" i="4"/>
  <c r="N212" i="4"/>
  <c r="N211" i="4"/>
  <c r="P211" i="4" s="1"/>
  <c r="P210" i="4"/>
  <c r="N210" i="4"/>
  <c r="P209" i="4"/>
  <c r="N209" i="4"/>
  <c r="N208" i="4"/>
  <c r="P208" i="4" s="1"/>
  <c r="P207" i="4"/>
  <c r="N207" i="4"/>
  <c r="N206" i="4"/>
  <c r="P206" i="4" s="1"/>
  <c r="N205" i="4"/>
  <c r="P205" i="4" s="1"/>
  <c r="P204" i="4"/>
  <c r="N204" i="4"/>
  <c r="P203" i="4"/>
  <c r="N203" i="4"/>
  <c r="N202" i="4"/>
  <c r="P202" i="4" s="1"/>
  <c r="N201" i="4"/>
  <c r="P201" i="4" s="1"/>
  <c r="P200" i="4"/>
  <c r="N200" i="4"/>
  <c r="P199" i="4"/>
  <c r="N199" i="4"/>
  <c r="P198" i="4"/>
  <c r="N198" i="4"/>
  <c r="P197" i="4"/>
  <c r="N197" i="4"/>
  <c r="N196" i="4"/>
  <c r="P196" i="4" s="1"/>
  <c r="N195" i="4"/>
  <c r="P195" i="4" s="1"/>
  <c r="P194" i="4"/>
  <c r="N194" i="4"/>
  <c r="N193" i="4"/>
  <c r="P193" i="4" s="1"/>
  <c r="P192" i="4"/>
  <c r="N192" i="4"/>
  <c r="P191" i="4"/>
  <c r="N191" i="4"/>
  <c r="N190" i="4"/>
  <c r="P190" i="4" s="1"/>
  <c r="P189" i="4"/>
  <c r="N189" i="4"/>
  <c r="N188" i="4"/>
  <c r="P188" i="4" s="1"/>
  <c r="P187" i="4"/>
  <c r="N187" i="4"/>
  <c r="P186" i="4"/>
  <c r="N186" i="4"/>
  <c r="P185" i="4"/>
  <c r="N185" i="4"/>
  <c r="N184" i="4"/>
  <c r="P184" i="4" s="1"/>
  <c r="N183" i="4"/>
  <c r="P183" i="4" s="1"/>
  <c r="N182" i="4"/>
  <c r="P182" i="4" s="1"/>
  <c r="P181" i="4"/>
  <c r="N181" i="4"/>
  <c r="P180" i="4"/>
  <c r="N180" i="4"/>
  <c r="P179" i="4"/>
  <c r="N179" i="4"/>
  <c r="N178" i="4"/>
  <c r="P178" i="4" s="1"/>
  <c r="N177" i="4"/>
  <c r="P177" i="4" s="1"/>
  <c r="P176" i="4"/>
  <c r="N176" i="4"/>
  <c r="N175" i="4"/>
  <c r="P175" i="4" s="1"/>
  <c r="P174" i="4"/>
  <c r="N174" i="4"/>
  <c r="P173" i="4"/>
  <c r="N173" i="4"/>
  <c r="N172" i="4"/>
  <c r="P172" i="4" s="1"/>
  <c r="N171" i="4"/>
  <c r="P171" i="4" s="1"/>
  <c r="N170" i="4"/>
  <c r="P170" i="4" s="1"/>
  <c r="N169" i="4"/>
  <c r="P169" i="4" s="1"/>
  <c r="P168" i="4"/>
  <c r="N168" i="4"/>
  <c r="P167" i="4"/>
  <c r="N167" i="4"/>
  <c r="N166" i="4"/>
  <c r="P166" i="4" s="1"/>
  <c r="N165" i="4"/>
  <c r="P165" i="4" s="1"/>
  <c r="N164" i="4"/>
  <c r="P164" i="4" s="1"/>
  <c r="P163" i="4"/>
  <c r="N163" i="4"/>
  <c r="P162" i="4"/>
  <c r="N162" i="4"/>
  <c r="P161" i="4"/>
  <c r="N161" i="4"/>
  <c r="N160" i="4"/>
  <c r="P160" i="4" s="1"/>
  <c r="N159" i="4"/>
  <c r="P159" i="4" s="1"/>
  <c r="N158" i="4"/>
  <c r="P158" i="4" s="1"/>
  <c r="N157" i="4"/>
  <c r="P157" i="4" s="1"/>
  <c r="P156" i="4"/>
  <c r="N156" i="4"/>
  <c r="P155" i="4"/>
  <c r="N155" i="4"/>
  <c r="N154" i="4"/>
  <c r="P154" i="4" s="1"/>
  <c r="P153" i="4"/>
  <c r="N153" i="4"/>
  <c r="N152" i="4"/>
  <c r="P152" i="4" s="1"/>
  <c r="N151" i="4"/>
  <c r="P151" i="4" s="1"/>
  <c r="P150" i="4"/>
  <c r="N150" i="4"/>
  <c r="P149" i="4"/>
  <c r="N149" i="4"/>
  <c r="N148" i="4"/>
  <c r="P148" i="4" s="1"/>
  <c r="N147" i="4"/>
  <c r="P147" i="4" s="1"/>
  <c r="N146" i="4"/>
  <c r="P146" i="4" s="1"/>
  <c r="N145" i="4"/>
  <c r="P145" i="4" s="1"/>
  <c r="P144" i="4"/>
  <c r="N144" i="4"/>
  <c r="N143" i="4"/>
  <c r="P143" i="4" s="1"/>
  <c r="N142" i="4"/>
  <c r="P142" i="4" s="1"/>
  <c r="P141" i="4"/>
  <c r="N141" i="4"/>
  <c r="N140" i="4"/>
  <c r="P140" i="4" s="1"/>
  <c r="N139" i="4"/>
  <c r="P139" i="4" s="1"/>
  <c r="P138" i="4"/>
  <c r="N138" i="4"/>
  <c r="N137" i="4"/>
  <c r="P137" i="4" s="1"/>
  <c r="N136" i="4"/>
  <c r="P136" i="4" s="1"/>
  <c r="N135" i="4"/>
  <c r="P135" i="4" s="1"/>
  <c r="P134" i="4"/>
  <c r="N134" i="4"/>
  <c r="N133" i="4"/>
  <c r="P133" i="4" s="1"/>
  <c r="P132" i="4"/>
  <c r="N132" i="4"/>
  <c r="N131" i="4"/>
  <c r="P131" i="4" s="1"/>
  <c r="N130" i="4"/>
  <c r="P130" i="4" s="1"/>
  <c r="N129" i="4"/>
  <c r="P129" i="4" s="1"/>
  <c r="N128" i="4"/>
  <c r="P128" i="4" s="1"/>
  <c r="P127" i="4"/>
  <c r="N127" i="4"/>
  <c r="P126" i="4"/>
  <c r="N126" i="4"/>
  <c r="N125" i="4"/>
  <c r="P125" i="4" s="1"/>
  <c r="N124" i="4"/>
  <c r="P124" i="4" s="1"/>
  <c r="N123" i="4"/>
  <c r="P123" i="4" s="1"/>
  <c r="N122" i="4"/>
  <c r="P122" i="4" s="1"/>
  <c r="N121" i="4"/>
  <c r="P121" i="4" s="1"/>
  <c r="P120" i="4"/>
  <c r="N120" i="4"/>
  <c r="N119" i="4"/>
  <c r="P119" i="4" s="1"/>
  <c r="N118" i="4"/>
  <c r="P118" i="4" s="1"/>
  <c r="N117" i="4"/>
  <c r="P117" i="4" s="1"/>
  <c r="N116" i="4"/>
  <c r="P116" i="4" s="1"/>
  <c r="N115" i="4"/>
  <c r="P115" i="4" s="1"/>
  <c r="P114" i="4"/>
  <c r="N114" i="4"/>
  <c r="N113" i="4"/>
  <c r="P113" i="4" s="1"/>
  <c r="N112" i="4"/>
  <c r="P112" i="4" s="1"/>
  <c r="N111" i="4"/>
  <c r="P111" i="4" s="1"/>
  <c r="N110" i="4"/>
  <c r="P110" i="4" s="1"/>
  <c r="N109" i="4"/>
  <c r="P109" i="4" s="1"/>
  <c r="P108" i="4"/>
  <c r="N108" i="4"/>
  <c r="N107" i="4"/>
  <c r="P107" i="4" s="1"/>
  <c r="N106" i="4"/>
  <c r="P106" i="4" s="1"/>
  <c r="P105" i="4"/>
  <c r="N105" i="4"/>
  <c r="N104" i="4"/>
  <c r="P104" i="4" s="1"/>
  <c r="N103" i="4"/>
  <c r="P103" i="4" s="1"/>
  <c r="P102" i="4"/>
  <c r="N102" i="4"/>
  <c r="N101" i="4"/>
  <c r="P101" i="4" s="1"/>
  <c r="N100" i="4"/>
  <c r="P100" i="4" s="1"/>
  <c r="N99" i="4"/>
  <c r="P99" i="4" s="1"/>
  <c r="P98" i="4"/>
  <c r="N98" i="4"/>
  <c r="N97" i="4"/>
  <c r="P97" i="4" s="1"/>
  <c r="P96" i="4"/>
  <c r="N96" i="4"/>
  <c r="N95" i="4"/>
  <c r="P95" i="4" s="1"/>
  <c r="N94" i="4"/>
  <c r="P94" i="4" s="1"/>
  <c r="N93" i="4"/>
  <c r="P93" i="4" s="1"/>
  <c r="N92" i="4"/>
  <c r="P92" i="4" s="1"/>
  <c r="P91" i="4"/>
  <c r="N91" i="4"/>
  <c r="P90" i="4"/>
  <c r="N90" i="4"/>
  <c r="N89" i="4"/>
  <c r="P89" i="4" s="1"/>
  <c r="N88" i="4"/>
  <c r="P88" i="4" s="1"/>
  <c r="N87" i="4"/>
  <c r="P87" i="4" s="1"/>
  <c r="P86" i="4"/>
  <c r="N86" i="4"/>
  <c r="P85" i="4"/>
  <c r="N85" i="4"/>
  <c r="P84" i="4"/>
  <c r="N84" i="4"/>
  <c r="N83" i="4"/>
  <c r="P83" i="4" s="1"/>
  <c r="N82" i="4"/>
  <c r="P82" i="4" s="1"/>
  <c r="N81" i="4"/>
  <c r="P81" i="4" s="1"/>
  <c r="N80" i="4"/>
  <c r="P80" i="4" s="1"/>
  <c r="N79" i="4"/>
  <c r="P79" i="4" s="1"/>
  <c r="P78" i="4"/>
  <c r="N78" i="4"/>
  <c r="N77" i="4"/>
  <c r="P77" i="4" s="1"/>
  <c r="P76" i="4"/>
  <c r="N76" i="4"/>
  <c r="N75" i="4"/>
  <c r="P75" i="4" s="1"/>
  <c r="N74" i="4"/>
  <c r="P74" i="4" s="1"/>
  <c r="P73" i="4"/>
  <c r="N73" i="4"/>
  <c r="P72" i="4"/>
  <c r="N72" i="4"/>
  <c r="N71" i="4"/>
  <c r="P71" i="4" s="1"/>
  <c r="N70" i="4"/>
  <c r="P70" i="4" s="1"/>
  <c r="N69" i="4"/>
  <c r="P69" i="4" s="1"/>
  <c r="N68" i="4"/>
  <c r="P68" i="4" s="1"/>
  <c r="N67" i="4"/>
  <c r="P67" i="4" s="1"/>
  <c r="P66" i="4"/>
  <c r="N66" i="4"/>
  <c r="N65" i="4"/>
  <c r="P65" i="4" s="1"/>
  <c r="P64" i="4"/>
  <c r="N64" i="4"/>
  <c r="P63" i="4"/>
  <c r="N63" i="4"/>
  <c r="N62" i="4"/>
  <c r="P62" i="4" s="1"/>
  <c r="N61" i="4"/>
  <c r="P61" i="4" s="1"/>
  <c r="P60" i="4"/>
  <c r="N60" i="4"/>
  <c r="N59" i="4"/>
  <c r="P59" i="4" s="1"/>
  <c r="P58" i="4"/>
  <c r="N58" i="4"/>
  <c r="N57" i="4"/>
  <c r="P57" i="4" s="1"/>
  <c r="N56" i="4"/>
  <c r="P56" i="4" s="1"/>
  <c r="N55" i="4"/>
  <c r="P55" i="4" s="1"/>
  <c r="P54" i="4"/>
  <c r="N54" i="4"/>
  <c r="N53" i="4"/>
  <c r="P53" i="4" s="1"/>
  <c r="P52" i="4"/>
  <c r="N52" i="4"/>
  <c r="P51" i="4"/>
  <c r="N51" i="4"/>
  <c r="P50" i="4"/>
  <c r="N50" i="4"/>
  <c r="N49" i="4"/>
  <c r="P49" i="4" s="1"/>
  <c r="P48" i="4"/>
  <c r="N48" i="4"/>
  <c r="N47" i="4"/>
  <c r="P47" i="4" s="1"/>
  <c r="N46" i="4"/>
  <c r="P46" i="4" s="1"/>
  <c r="P45" i="4"/>
  <c r="N45" i="4"/>
  <c r="N44" i="4"/>
  <c r="P44" i="4" s="1"/>
  <c r="N43" i="4"/>
  <c r="P43" i="4" s="1"/>
  <c r="P42" i="4"/>
  <c r="N42" i="4"/>
  <c r="N41" i="4"/>
  <c r="P41" i="4" s="1"/>
  <c r="P40" i="4"/>
  <c r="N40" i="4"/>
  <c r="P39" i="4"/>
  <c r="N39" i="4"/>
  <c r="P38" i="4"/>
  <c r="N38" i="4"/>
  <c r="P37" i="4"/>
  <c r="N37" i="4"/>
  <c r="P36" i="4"/>
  <c r="N36" i="4"/>
  <c r="N35" i="4"/>
  <c r="P35" i="4" s="1"/>
  <c r="N34" i="4"/>
  <c r="P34" i="4" s="1"/>
  <c r="N33" i="4"/>
  <c r="P33" i="4" s="1"/>
  <c r="P32" i="4"/>
  <c r="N32" i="4"/>
  <c r="N31" i="4"/>
  <c r="P31" i="4" s="1"/>
  <c r="P30" i="4"/>
  <c r="N30" i="4"/>
  <c r="N29" i="4"/>
  <c r="P29" i="4" s="1"/>
  <c r="N28" i="4"/>
  <c r="P28" i="4" s="1"/>
  <c r="P27" i="4"/>
  <c r="N27" i="4"/>
  <c r="P26" i="4"/>
  <c r="N26" i="4"/>
  <c r="P25" i="4"/>
  <c r="N25" i="4"/>
  <c r="P24" i="4"/>
  <c r="N24" i="4"/>
  <c r="N23" i="4"/>
  <c r="P23" i="4" s="1"/>
  <c r="N22" i="4"/>
  <c r="P22" i="4" s="1"/>
  <c r="N21" i="4"/>
  <c r="P21" i="4" s="1"/>
  <c r="N20" i="4"/>
  <c r="P20" i="4" s="1"/>
  <c r="P19" i="4"/>
  <c r="N19" i="4"/>
  <c r="P18" i="4"/>
  <c r="N18" i="4"/>
  <c r="N17" i="4"/>
  <c r="P17" i="4" s="1"/>
  <c r="N16" i="4"/>
  <c r="P16" i="4" s="1"/>
  <c r="N15" i="4"/>
  <c r="P15" i="4" s="1"/>
  <c r="P14" i="4"/>
  <c r="N14" i="4"/>
  <c r="N13" i="4"/>
  <c r="P13" i="4" s="1"/>
  <c r="P12" i="4"/>
  <c r="N12" i="4"/>
  <c r="N11" i="4"/>
  <c r="P11" i="4" s="1"/>
  <c r="N10" i="4"/>
  <c r="P10" i="4" s="1"/>
  <c r="N9" i="4"/>
  <c r="P9" i="4" s="1"/>
  <c r="N8" i="4"/>
  <c r="P8" i="4" s="1"/>
  <c r="N7" i="4"/>
  <c r="P7" i="4" s="1"/>
  <c r="P6" i="4"/>
  <c r="N6" i="4"/>
  <c r="N5" i="4"/>
  <c r="P5" i="4" s="1"/>
  <c r="P4" i="4"/>
  <c r="N4" i="4"/>
  <c r="N3" i="4"/>
  <c r="P3" i="4" s="1"/>
  <c r="N2" i="4"/>
  <c r="P2" i="4" s="1"/>
  <c r="P53" i="3"/>
  <c r="N53" i="3"/>
  <c r="P52" i="3"/>
  <c r="N52" i="3"/>
  <c r="N51" i="3"/>
  <c r="P51" i="3" s="1"/>
  <c r="N50" i="3"/>
  <c r="P50" i="3" s="1"/>
  <c r="N49" i="3"/>
  <c r="P49" i="3" s="1"/>
  <c r="N48" i="3"/>
  <c r="P48" i="3" s="1"/>
  <c r="N47" i="3"/>
  <c r="P47" i="3" s="1"/>
  <c r="P46" i="3"/>
  <c r="N46" i="3"/>
  <c r="N45" i="3"/>
  <c r="P45" i="3" s="1"/>
  <c r="P44" i="3"/>
  <c r="N44" i="3"/>
  <c r="P43" i="3"/>
  <c r="N43" i="3"/>
  <c r="N42" i="3"/>
  <c r="P42" i="3" s="1"/>
  <c r="N41" i="3"/>
  <c r="P41" i="3" s="1"/>
  <c r="P40" i="3"/>
  <c r="N40" i="3"/>
  <c r="N39" i="3"/>
  <c r="P39" i="3" s="1"/>
  <c r="P38" i="3"/>
  <c r="N38" i="3"/>
  <c r="N37" i="3"/>
  <c r="P37" i="3" s="1"/>
  <c r="N36" i="3"/>
  <c r="P36" i="3" s="1"/>
  <c r="N35" i="3"/>
  <c r="P35" i="3" s="1"/>
  <c r="P34" i="3"/>
  <c r="N34" i="3"/>
  <c r="N33" i="3"/>
  <c r="P33" i="3" s="1"/>
  <c r="P32" i="3"/>
  <c r="N32" i="3"/>
  <c r="P31" i="3"/>
  <c r="N31" i="3"/>
  <c r="P30" i="3"/>
  <c r="N30" i="3"/>
  <c r="N29" i="3"/>
  <c r="P29" i="3" s="1"/>
  <c r="P28" i="3"/>
  <c r="N28" i="3"/>
  <c r="N27" i="3"/>
  <c r="P27" i="3" s="1"/>
  <c r="N26" i="3"/>
  <c r="P26" i="3" s="1"/>
  <c r="P25" i="3"/>
  <c r="N25" i="3"/>
  <c r="N24" i="3"/>
  <c r="P24" i="3" s="1"/>
  <c r="N23" i="3"/>
  <c r="P23" i="3" s="1"/>
  <c r="P22" i="3"/>
  <c r="N22" i="3"/>
  <c r="N21" i="3"/>
  <c r="P21" i="3" s="1"/>
  <c r="P20" i="3"/>
  <c r="N20" i="3"/>
  <c r="P19" i="3"/>
  <c r="N19" i="3"/>
  <c r="P18" i="3"/>
  <c r="N18" i="3"/>
  <c r="P17" i="3"/>
  <c r="N17" i="3"/>
  <c r="P16" i="3"/>
  <c r="N16" i="3"/>
  <c r="N15" i="3"/>
  <c r="P15" i="3" s="1"/>
  <c r="N14" i="3"/>
  <c r="P14" i="3" s="1"/>
  <c r="N13" i="3"/>
  <c r="P13" i="3" s="1"/>
  <c r="P12" i="3"/>
  <c r="N12" i="3"/>
  <c r="N11" i="3"/>
  <c r="P11" i="3" s="1"/>
  <c r="P10" i="3"/>
  <c r="N10" i="3"/>
  <c r="N9" i="3"/>
  <c r="P9" i="3" s="1"/>
  <c r="N8" i="3"/>
  <c r="P8" i="3" s="1"/>
  <c r="P7" i="3"/>
  <c r="N7" i="3"/>
  <c r="P6" i="3"/>
  <c r="N6" i="3"/>
  <c r="P5" i="3"/>
  <c r="N5" i="3"/>
  <c r="P4" i="3"/>
  <c r="N4" i="3"/>
  <c r="N3" i="3"/>
  <c r="P3" i="3" s="1"/>
  <c r="N2" i="3"/>
  <c r="P2" i="3" s="1"/>
  <c r="N52" i="2"/>
  <c r="P52" i="2" s="1"/>
  <c r="N51" i="2"/>
  <c r="P51" i="2" s="1"/>
  <c r="P50" i="2"/>
  <c r="N50" i="2"/>
  <c r="P49" i="2"/>
  <c r="N49" i="2"/>
  <c r="N48" i="2"/>
  <c r="P48" i="2" s="1"/>
  <c r="N47" i="2"/>
  <c r="P47" i="2" s="1"/>
  <c r="N46" i="2"/>
  <c r="P46" i="2" s="1"/>
  <c r="P45" i="2"/>
  <c r="N45" i="2"/>
  <c r="P44" i="2"/>
  <c r="N44" i="2"/>
  <c r="P43" i="2"/>
  <c r="N43" i="2"/>
  <c r="N42" i="2"/>
  <c r="P42" i="2" s="1"/>
  <c r="N41" i="2"/>
  <c r="P41" i="2" s="1"/>
  <c r="N40" i="2"/>
  <c r="P40" i="2" s="1"/>
  <c r="N39" i="2"/>
  <c r="P39" i="2" s="1"/>
  <c r="N38" i="2"/>
  <c r="P38" i="2" s="1"/>
  <c r="P37" i="2"/>
  <c r="N37" i="2"/>
  <c r="N36" i="2"/>
  <c r="P36" i="2" s="1"/>
  <c r="P35" i="2"/>
  <c r="N35" i="2"/>
  <c r="N34" i="2"/>
  <c r="P34" i="2" s="1"/>
  <c r="N33" i="2"/>
  <c r="P33" i="2" s="1"/>
  <c r="P32" i="2"/>
  <c r="N32" i="2"/>
  <c r="P31" i="2"/>
  <c r="N31" i="2"/>
  <c r="N30" i="2"/>
  <c r="P30" i="2" s="1"/>
  <c r="N29" i="2"/>
  <c r="P29" i="2" s="1"/>
  <c r="N28" i="2"/>
  <c r="P28" i="2" s="1"/>
  <c r="N27" i="2"/>
  <c r="P27" i="2" s="1"/>
  <c r="N26" i="2"/>
  <c r="P26" i="2" s="1"/>
  <c r="N25" i="2"/>
  <c r="P25" i="2" s="1"/>
  <c r="N24" i="2"/>
  <c r="P24" i="2" s="1"/>
  <c r="P23" i="2"/>
  <c r="N23" i="2"/>
  <c r="P22" i="2"/>
  <c r="N22" i="2"/>
  <c r="N21" i="2"/>
  <c r="P21" i="2" s="1"/>
  <c r="N20" i="2"/>
  <c r="P20" i="2" s="1"/>
  <c r="P19" i="2"/>
  <c r="N19" i="2"/>
  <c r="N18" i="2"/>
  <c r="P18" i="2" s="1"/>
  <c r="P17" i="2"/>
  <c r="N17" i="2"/>
  <c r="N16" i="2"/>
  <c r="P16" i="2" s="1"/>
  <c r="N15" i="2"/>
  <c r="P15" i="2" s="1"/>
  <c r="N14" i="2"/>
  <c r="P14" i="2" s="1"/>
  <c r="N13" i="2"/>
  <c r="P13" i="2" s="1"/>
  <c r="N12" i="2"/>
  <c r="P12" i="2" s="1"/>
  <c r="N11" i="2"/>
  <c r="P11" i="2" s="1"/>
  <c r="P10" i="2"/>
  <c r="N10" i="2"/>
  <c r="P9" i="2"/>
  <c r="N9" i="2"/>
  <c r="N8" i="2"/>
  <c r="P8" i="2" s="1"/>
  <c r="N7" i="2"/>
  <c r="P7" i="2" s="1"/>
  <c r="N6" i="2"/>
  <c r="P6" i="2" s="1"/>
  <c r="N5" i="2"/>
  <c r="P5" i="2" s="1"/>
  <c r="P4" i="2"/>
  <c r="N4" i="2"/>
  <c r="N3" i="2"/>
  <c r="P3" i="2" s="1"/>
  <c r="N2" i="2"/>
  <c r="P2" i="2" s="1"/>
  <c r="N255" i="1"/>
  <c r="P255" i="1" s="1"/>
  <c r="N254" i="1"/>
  <c r="P254" i="1" s="1"/>
  <c r="P253" i="1"/>
  <c r="N253" i="1"/>
  <c r="N252" i="1"/>
  <c r="P252" i="1" s="1"/>
  <c r="P251" i="1"/>
  <c r="N251" i="1"/>
  <c r="P250" i="1"/>
  <c r="N250" i="1"/>
  <c r="N249" i="1"/>
  <c r="P249" i="1" s="1"/>
  <c r="N248" i="1"/>
  <c r="P248" i="1" s="1"/>
  <c r="N247" i="1"/>
  <c r="P247" i="1" s="1"/>
  <c r="N246" i="1"/>
  <c r="P246" i="1" s="1"/>
  <c r="P245" i="1"/>
  <c r="N245" i="1"/>
  <c r="N244" i="1"/>
  <c r="P244" i="1" s="1"/>
  <c r="N243" i="1"/>
  <c r="P243" i="1" s="1"/>
  <c r="N242" i="1"/>
  <c r="P242" i="1" s="1"/>
  <c r="N241" i="1"/>
  <c r="P241" i="1" s="1"/>
  <c r="P240" i="1"/>
  <c r="N240" i="1"/>
  <c r="N239" i="1"/>
  <c r="P239" i="1" s="1"/>
  <c r="P238" i="1"/>
  <c r="N238" i="1"/>
  <c r="P237" i="1"/>
  <c r="N237" i="1"/>
  <c r="N236" i="1"/>
  <c r="P236" i="1" s="1"/>
  <c r="N235" i="1"/>
  <c r="P235" i="1" s="1"/>
  <c r="N234" i="1"/>
  <c r="P234" i="1" s="1"/>
  <c r="N233" i="1"/>
  <c r="P233" i="1" s="1"/>
  <c r="P232" i="1"/>
  <c r="N232" i="1"/>
  <c r="N231" i="1"/>
  <c r="P231" i="1" s="1"/>
  <c r="N230" i="1"/>
  <c r="P230" i="1" s="1"/>
  <c r="N229" i="1"/>
  <c r="P229" i="1" s="1"/>
  <c r="N228" i="1"/>
  <c r="P228" i="1" s="1"/>
  <c r="P227" i="1"/>
  <c r="N227" i="1"/>
  <c r="N226" i="1"/>
  <c r="P226" i="1" s="1"/>
  <c r="P225" i="1"/>
  <c r="N225" i="1"/>
  <c r="N224" i="1"/>
  <c r="P224" i="1" s="1"/>
  <c r="N223" i="1"/>
  <c r="P223" i="1" s="1"/>
  <c r="N222" i="1"/>
  <c r="P222" i="1" s="1"/>
  <c r="N221" i="1"/>
  <c r="P221" i="1" s="1"/>
  <c r="N220" i="1"/>
  <c r="P220" i="1" s="1"/>
  <c r="P219" i="1"/>
  <c r="N219" i="1"/>
  <c r="N218" i="1"/>
  <c r="P218" i="1" s="1"/>
  <c r="P217" i="1"/>
  <c r="N217" i="1"/>
  <c r="N216" i="1"/>
  <c r="P216" i="1" s="1"/>
  <c r="N215" i="1"/>
  <c r="P215" i="1" s="1"/>
  <c r="P214" i="1"/>
  <c r="N214" i="1"/>
  <c r="N213" i="1"/>
  <c r="P213" i="1" s="1"/>
  <c r="N212" i="1"/>
  <c r="P212" i="1" s="1"/>
  <c r="N211" i="1"/>
  <c r="P211" i="1" s="1"/>
  <c r="N210" i="1"/>
  <c r="P210" i="1" s="1"/>
  <c r="N209" i="1"/>
  <c r="P209" i="1" s="1"/>
  <c r="N208" i="1"/>
  <c r="P208" i="1" s="1"/>
  <c r="N207" i="1"/>
  <c r="P207" i="1" s="1"/>
  <c r="N206" i="1"/>
  <c r="P206" i="1" s="1"/>
  <c r="P205" i="1"/>
  <c r="N205" i="1"/>
  <c r="P204" i="1"/>
  <c r="N204" i="1"/>
  <c r="N203" i="1"/>
  <c r="P203" i="1" s="1"/>
  <c r="N202" i="1"/>
  <c r="P202" i="1" s="1"/>
  <c r="P201" i="1"/>
  <c r="N201" i="1"/>
  <c r="N200" i="1"/>
  <c r="P200" i="1" s="1"/>
  <c r="P199" i="1"/>
  <c r="N199" i="1"/>
  <c r="N198" i="1"/>
  <c r="P198" i="1" s="1"/>
  <c r="N197" i="1"/>
  <c r="P197" i="1" s="1"/>
  <c r="N196" i="1"/>
  <c r="P196" i="1" s="1"/>
  <c r="N195" i="1"/>
  <c r="P195" i="1" s="1"/>
  <c r="N194" i="1"/>
  <c r="P194" i="1" s="1"/>
  <c r="N193" i="1"/>
  <c r="P193" i="1" s="1"/>
  <c r="P192" i="1"/>
  <c r="N192" i="1"/>
  <c r="P191" i="1"/>
  <c r="N191" i="1"/>
  <c r="N190" i="1"/>
  <c r="P190" i="1" s="1"/>
  <c r="N189" i="1"/>
  <c r="P189" i="1" s="1"/>
  <c r="N188" i="1"/>
  <c r="P188" i="1" s="1"/>
  <c r="N187" i="1"/>
  <c r="P187" i="1" s="1"/>
  <c r="P186" i="1"/>
  <c r="N186" i="1"/>
  <c r="N185" i="1"/>
  <c r="P185" i="1" s="1"/>
  <c r="N184" i="1"/>
  <c r="P184" i="1" s="1"/>
  <c r="N183" i="1"/>
  <c r="P183" i="1" s="1"/>
  <c r="N182" i="1"/>
  <c r="P182" i="1" s="1"/>
  <c r="P181" i="1"/>
  <c r="N181" i="1"/>
  <c r="N180" i="1"/>
  <c r="P180" i="1" s="1"/>
  <c r="P179" i="1"/>
  <c r="N179" i="1"/>
  <c r="P178" i="1"/>
  <c r="N178" i="1"/>
  <c r="N177" i="1"/>
  <c r="P177" i="1" s="1"/>
  <c r="N176" i="1"/>
  <c r="P176" i="1" s="1"/>
  <c r="N175" i="1"/>
  <c r="P175" i="1" s="1"/>
  <c r="N174" i="1"/>
  <c r="P174" i="1" s="1"/>
  <c r="P173" i="1"/>
  <c r="N173" i="1"/>
  <c r="N172" i="1"/>
  <c r="P172" i="1" s="1"/>
  <c r="N171" i="1"/>
  <c r="P171" i="1" s="1"/>
  <c r="N170" i="1"/>
  <c r="P170" i="1" s="1"/>
  <c r="N169" i="1"/>
  <c r="P169" i="1" s="1"/>
  <c r="P168" i="1"/>
  <c r="N168" i="1"/>
  <c r="N167" i="1"/>
  <c r="P167" i="1" s="1"/>
  <c r="P166" i="1"/>
  <c r="N166" i="1"/>
  <c r="P165" i="1"/>
  <c r="N165" i="1"/>
  <c r="N164" i="1"/>
  <c r="P164" i="1" s="1"/>
  <c r="N163" i="1"/>
  <c r="P163" i="1" s="1"/>
  <c r="N162" i="1"/>
  <c r="P162" i="1" s="1"/>
  <c r="N161" i="1"/>
  <c r="P161" i="1" s="1"/>
  <c r="P160" i="1"/>
  <c r="N160" i="1"/>
  <c r="N159" i="1"/>
  <c r="P159" i="1" s="1"/>
  <c r="N158" i="1"/>
  <c r="P158" i="1" s="1"/>
  <c r="N157" i="1"/>
  <c r="P157" i="1" s="1"/>
  <c r="N156" i="1"/>
  <c r="P156" i="1" s="1"/>
  <c r="P155" i="1"/>
  <c r="N155" i="1"/>
  <c r="N154" i="1"/>
  <c r="P154" i="1" s="1"/>
  <c r="P153" i="1"/>
  <c r="N153" i="1"/>
  <c r="N152" i="1"/>
  <c r="P152" i="1" s="1"/>
  <c r="N151" i="1"/>
  <c r="P151" i="1" s="1"/>
  <c r="N150" i="1"/>
  <c r="P150" i="1" s="1"/>
  <c r="N149" i="1"/>
  <c r="P149" i="1" s="1"/>
  <c r="N148" i="1"/>
  <c r="P148" i="1" s="1"/>
  <c r="P147" i="1"/>
  <c r="N147" i="1"/>
  <c r="N146" i="1"/>
  <c r="P146" i="1" s="1"/>
  <c r="P145" i="1"/>
  <c r="N145" i="1"/>
  <c r="N144" i="1"/>
  <c r="P144" i="1" s="1"/>
  <c r="N143" i="1"/>
  <c r="P143" i="1" s="1"/>
  <c r="P142" i="1"/>
  <c r="N142" i="1"/>
  <c r="N141" i="1"/>
  <c r="P141" i="1" s="1"/>
  <c r="N140" i="1"/>
  <c r="P140" i="1" s="1"/>
  <c r="N139" i="1"/>
  <c r="P139" i="1" s="1"/>
  <c r="N138" i="1"/>
  <c r="P138" i="1" s="1"/>
  <c r="N137" i="1"/>
  <c r="P137" i="1" s="1"/>
  <c r="N136" i="1"/>
  <c r="P136" i="1" s="1"/>
  <c r="N135" i="1"/>
  <c r="P135" i="1" s="1"/>
  <c r="N134" i="1"/>
  <c r="P134" i="1" s="1"/>
  <c r="P133" i="1"/>
  <c r="N133" i="1"/>
  <c r="P132" i="1"/>
  <c r="N132" i="1"/>
  <c r="N131" i="1"/>
  <c r="P131" i="1" s="1"/>
  <c r="N130" i="1"/>
  <c r="P130" i="1" s="1"/>
  <c r="P129" i="1"/>
  <c r="N129" i="1"/>
  <c r="N128" i="1"/>
  <c r="P128" i="1" s="1"/>
  <c r="P127" i="1"/>
  <c r="N127" i="1"/>
  <c r="N126" i="1"/>
  <c r="P126" i="1" s="1"/>
  <c r="N125" i="1"/>
  <c r="P125" i="1" s="1"/>
  <c r="N124" i="1"/>
  <c r="P124" i="1" s="1"/>
  <c r="N123" i="1"/>
  <c r="P123" i="1" s="1"/>
  <c r="N122" i="1"/>
  <c r="P122" i="1" s="1"/>
  <c r="N121" i="1"/>
  <c r="P121" i="1" s="1"/>
  <c r="P120" i="1"/>
  <c r="N120" i="1"/>
  <c r="P119" i="1"/>
  <c r="N119" i="1"/>
  <c r="N118" i="1"/>
  <c r="P118" i="1" s="1"/>
  <c r="N117" i="1"/>
  <c r="P117" i="1" s="1"/>
  <c r="N116" i="1"/>
  <c r="P116" i="1" s="1"/>
  <c r="N115" i="1"/>
  <c r="P115" i="1" s="1"/>
  <c r="P114" i="1"/>
  <c r="N114" i="1"/>
  <c r="N113" i="1"/>
  <c r="P113" i="1" s="1"/>
  <c r="N112" i="1"/>
  <c r="P112" i="1" s="1"/>
  <c r="N111" i="1"/>
  <c r="P111" i="1" s="1"/>
  <c r="N110" i="1"/>
  <c r="P110" i="1" s="1"/>
  <c r="P109" i="1"/>
  <c r="N109" i="1"/>
  <c r="N108" i="1"/>
  <c r="P108" i="1" s="1"/>
  <c r="P107" i="1"/>
  <c r="N107" i="1"/>
  <c r="P106" i="1"/>
  <c r="N106" i="1"/>
  <c r="N105" i="1"/>
  <c r="P105" i="1" s="1"/>
  <c r="N104" i="1"/>
  <c r="P104" i="1" s="1"/>
  <c r="N103" i="1"/>
  <c r="P103" i="1" s="1"/>
  <c r="N102" i="1"/>
  <c r="P102" i="1" s="1"/>
  <c r="P101" i="1"/>
  <c r="N101" i="1"/>
  <c r="N100" i="1"/>
  <c r="P100" i="1" s="1"/>
  <c r="N99" i="1"/>
  <c r="P99" i="1" s="1"/>
  <c r="N98" i="1"/>
  <c r="P98" i="1" s="1"/>
  <c r="N97" i="1"/>
  <c r="P97" i="1" s="1"/>
  <c r="P96" i="1"/>
  <c r="N96" i="1"/>
  <c r="N95" i="1"/>
  <c r="P95" i="1" s="1"/>
  <c r="P94" i="1"/>
  <c r="N94" i="1"/>
  <c r="P93" i="1"/>
  <c r="N93" i="1"/>
  <c r="N92" i="1"/>
  <c r="P92" i="1" s="1"/>
  <c r="N91" i="1"/>
  <c r="P91" i="1" s="1"/>
  <c r="N90" i="1"/>
  <c r="P90" i="1" s="1"/>
  <c r="N89" i="1"/>
  <c r="P89" i="1" s="1"/>
  <c r="P88" i="1"/>
  <c r="N88" i="1"/>
  <c r="N87" i="1"/>
  <c r="P87" i="1" s="1"/>
  <c r="N86" i="1"/>
  <c r="P86" i="1" s="1"/>
  <c r="N85" i="1"/>
  <c r="P85" i="1" s="1"/>
  <c r="N84" i="1"/>
  <c r="P84" i="1" s="1"/>
  <c r="P83" i="1"/>
  <c r="N83" i="1"/>
  <c r="N82" i="1"/>
  <c r="P82" i="1" s="1"/>
  <c r="P81" i="1"/>
  <c r="N81" i="1"/>
  <c r="N80" i="1"/>
  <c r="P80" i="1" s="1"/>
  <c r="N79" i="1"/>
  <c r="P79" i="1" s="1"/>
  <c r="N78" i="1"/>
  <c r="P78" i="1" s="1"/>
  <c r="N77" i="1"/>
  <c r="P77" i="1" s="1"/>
  <c r="N76" i="1"/>
  <c r="P76" i="1" s="1"/>
  <c r="P75" i="1"/>
  <c r="N75" i="1"/>
  <c r="N74" i="1"/>
  <c r="P74" i="1" s="1"/>
  <c r="P73" i="1"/>
  <c r="N73" i="1"/>
  <c r="N72" i="1"/>
  <c r="P72" i="1" s="1"/>
  <c r="N71" i="1"/>
  <c r="P71" i="1" s="1"/>
  <c r="P70" i="1"/>
  <c r="N70" i="1"/>
  <c r="N69" i="1"/>
  <c r="P69" i="1" s="1"/>
  <c r="N68" i="1"/>
  <c r="P68" i="1" s="1"/>
  <c r="N67" i="1"/>
  <c r="P67" i="1" s="1"/>
  <c r="N66" i="1"/>
  <c r="P66" i="1" s="1"/>
  <c r="N65" i="1"/>
  <c r="P65" i="1" s="1"/>
  <c r="N64" i="1"/>
  <c r="P64" i="1" s="1"/>
  <c r="N63" i="1"/>
  <c r="P63" i="1" s="1"/>
  <c r="N62" i="1"/>
  <c r="P62" i="1" s="1"/>
  <c r="P61" i="1"/>
  <c r="N61" i="1"/>
  <c r="P60" i="1"/>
  <c r="N60" i="1"/>
  <c r="N59" i="1"/>
  <c r="P59" i="1" s="1"/>
  <c r="N58" i="1"/>
  <c r="P58" i="1" s="1"/>
  <c r="P57" i="1"/>
  <c r="N57" i="1"/>
  <c r="N56" i="1"/>
  <c r="P56" i="1" s="1"/>
  <c r="P55" i="1"/>
  <c r="N55" i="1"/>
  <c r="N54" i="1"/>
  <c r="P54" i="1" s="1"/>
  <c r="N53" i="1"/>
  <c r="P53" i="1" s="1"/>
  <c r="N52" i="1"/>
  <c r="P52" i="1" s="1"/>
  <c r="N51" i="1"/>
  <c r="P51" i="1" s="1"/>
  <c r="N50" i="1"/>
  <c r="P50" i="1" s="1"/>
  <c r="N49" i="1"/>
  <c r="P49" i="1" s="1"/>
  <c r="P48" i="1"/>
  <c r="N48" i="1"/>
  <c r="P47" i="1"/>
  <c r="N47" i="1"/>
  <c r="N46" i="1"/>
  <c r="P46" i="1" s="1"/>
  <c r="N45" i="1"/>
  <c r="P45" i="1" s="1"/>
  <c r="N44" i="1"/>
  <c r="P44" i="1" s="1"/>
  <c r="N43" i="1"/>
  <c r="P43" i="1" s="1"/>
  <c r="P42" i="1"/>
  <c r="N42" i="1"/>
  <c r="N41" i="1"/>
  <c r="P41" i="1" s="1"/>
  <c r="N40" i="1"/>
  <c r="P40" i="1" s="1"/>
  <c r="N39" i="1"/>
  <c r="P39" i="1" s="1"/>
  <c r="N38" i="1"/>
  <c r="P38" i="1" s="1"/>
  <c r="P37" i="1"/>
  <c r="N37" i="1"/>
  <c r="P36" i="1"/>
  <c r="N36" i="1"/>
  <c r="P35" i="1"/>
  <c r="N35" i="1"/>
  <c r="P34" i="1"/>
  <c r="N34" i="1"/>
  <c r="N33" i="1"/>
  <c r="P33" i="1" s="1"/>
  <c r="N32" i="1"/>
  <c r="P32" i="1" s="1"/>
  <c r="N31" i="1"/>
  <c r="P31" i="1" s="1"/>
  <c r="N30" i="1"/>
  <c r="P30" i="1" s="1"/>
  <c r="P29" i="1"/>
  <c r="N29" i="1"/>
  <c r="N28" i="1"/>
  <c r="P28" i="1" s="1"/>
  <c r="N27" i="1"/>
  <c r="P27" i="1" s="1"/>
  <c r="N26" i="1"/>
  <c r="P26" i="1" s="1"/>
  <c r="N25" i="1"/>
  <c r="P25" i="1" s="1"/>
  <c r="P24" i="1"/>
  <c r="N24" i="1"/>
  <c r="N23" i="1"/>
  <c r="P23" i="1" s="1"/>
  <c r="P22" i="1"/>
  <c r="N22" i="1"/>
  <c r="P21" i="1"/>
  <c r="N21" i="1"/>
  <c r="N20" i="1"/>
  <c r="P20" i="1" s="1"/>
  <c r="N19" i="1"/>
  <c r="P19" i="1" s="1"/>
  <c r="N18" i="1"/>
  <c r="P18" i="1" s="1"/>
  <c r="N17" i="1"/>
  <c r="P17" i="1" s="1"/>
  <c r="P16" i="1"/>
  <c r="N16" i="1"/>
  <c r="N15" i="1"/>
  <c r="P15" i="1" s="1"/>
  <c r="N14" i="1"/>
  <c r="P14" i="1" s="1"/>
  <c r="N13" i="1"/>
  <c r="P13" i="1" s="1"/>
  <c r="N12" i="1"/>
  <c r="P12" i="1" s="1"/>
  <c r="N11" i="1"/>
  <c r="P11" i="1" s="1"/>
  <c r="N10" i="1"/>
  <c r="P10" i="1" s="1"/>
  <c r="P9" i="1"/>
  <c r="N9" i="1"/>
  <c r="N8" i="1"/>
  <c r="P8" i="1" s="1"/>
  <c r="N7" i="1"/>
  <c r="P7" i="1" s="1"/>
  <c r="N6" i="1"/>
  <c r="P6" i="1" s="1"/>
  <c r="N5" i="1"/>
  <c r="P5" i="1" s="1"/>
  <c r="N4" i="1"/>
  <c r="P4" i="1" s="1"/>
  <c r="P3" i="1"/>
  <c r="N3" i="1"/>
  <c r="N2" i="1"/>
  <c r="P2" i="1" s="1"/>
</calcChain>
</file>

<file path=xl/sharedStrings.xml><?xml version="1.0" encoding="utf-8"?>
<sst xmlns="http://schemas.openxmlformats.org/spreadsheetml/2006/main" count="2147" uniqueCount="1777">
  <si>
    <t>GEO</t>
  </si>
  <si>
    <t>NOME_MUNICIPIO</t>
  </si>
  <si>
    <t>TOTAL</t>
  </si>
  <si>
    <t>POP_2020</t>
  </si>
  <si>
    <t>TAXA</t>
  </si>
  <si>
    <t xml:space="preserve"> AGUAI</t>
  </si>
  <si>
    <t xml:space="preserve"> AGUAS DA PRATA</t>
  </si>
  <si>
    <t>AGUAS DE LINDOIA</t>
  </si>
  <si>
    <t>AGUAS DE SAO PEDRO</t>
  </si>
  <si>
    <t xml:space="preserve"> AGUDOS</t>
  </si>
  <si>
    <t>ALTINOPOLIS</t>
  </si>
  <si>
    <t>ALUMINIO</t>
  </si>
  <si>
    <t>AMERICANA</t>
  </si>
  <si>
    <t>AMERICO BRASILIENSE</t>
  </si>
  <si>
    <t>AMPARO</t>
  </si>
  <si>
    <t>ANALANDIA</t>
  </si>
  <si>
    <t>ANDRADINA</t>
  </si>
  <si>
    <t>APIAI</t>
  </si>
  <si>
    <t>ARACARIGUAMA</t>
  </si>
  <si>
    <t>ARACATUBA</t>
  </si>
  <si>
    <t>ARARAQUARA</t>
  </si>
  <si>
    <t>ARARAS</t>
  </si>
  <si>
    <t>AREALVA</t>
  </si>
  <si>
    <t>AREIOPOLIS</t>
  </si>
  <si>
    <t>ARTUR NOGUEIRA</t>
  </si>
  <si>
    <t>ASSIS</t>
  </si>
  <si>
    <t>ATIBAIA</t>
  </si>
  <si>
    <t>AVARE</t>
  </si>
  <si>
    <t>BARRA BONITA</t>
  </si>
  <si>
    <t>BARRETOS</t>
  </si>
  <si>
    <t>BARUERI</t>
  </si>
  <si>
    <t>BATATAIS</t>
  </si>
  <si>
    <t>BAURU</t>
  </si>
  <si>
    <t>BEBEDOURO</t>
  </si>
  <si>
    <t>BERTIOGA</t>
  </si>
  <si>
    <t>BILAC</t>
  </si>
  <si>
    <t>BIRIGUI</t>
  </si>
  <si>
    <t>BOCAINA</t>
  </si>
  <si>
    <t>BOITUVA</t>
  </si>
  <si>
    <t>BORBOREMA</t>
  </si>
  <si>
    <t>BOTUCATU</t>
  </si>
  <si>
    <t>BRAGANCA PAULISTA</t>
  </si>
  <si>
    <t>CABREUVA</t>
  </si>
  <si>
    <t>CACAPAVA</t>
  </si>
  <si>
    <t>CACHOEIRA PAULISTA</t>
  </si>
  <si>
    <t>CAIEIRAS</t>
  </si>
  <si>
    <t>CAJURU</t>
  </si>
  <si>
    <t>CAMPINA DO MONTE ALEGRE</t>
  </si>
  <si>
    <t>CAMPINAS</t>
  </si>
  <si>
    <t>CAMPOS DO JORDAO</t>
  </si>
  <si>
    <t>CANDIDO MOTA</t>
  </si>
  <si>
    <t>CAPELA DO ALTO</t>
  </si>
  <si>
    <t>CAPIVARI</t>
  </si>
  <si>
    <t>CARAGUATATUBA</t>
  </si>
  <si>
    <t>CARAPICUIBA</t>
  </si>
  <si>
    <t>CATANDUVA</t>
  </si>
  <si>
    <t>CERQUILHO</t>
  </si>
  <si>
    <t>CONCHAL</t>
  </si>
  <si>
    <t>CORDEIROPOLIS</t>
  </si>
  <si>
    <t>COSMOPOLIS</t>
  </si>
  <si>
    <t>COTIA</t>
  </si>
  <si>
    <t>CRAVINHOS</t>
  </si>
  <si>
    <t>CRUZEIRO</t>
  </si>
  <si>
    <t>CUBATAO</t>
  </si>
  <si>
    <t>DESCALVADO</t>
  </si>
  <si>
    <t>DIADEMA</t>
  </si>
  <si>
    <t>DRACENA</t>
  </si>
  <si>
    <t>DUMONT</t>
  </si>
  <si>
    <t>ECHAPORA</t>
  </si>
  <si>
    <t>EMBU DAS ARTES</t>
  </si>
  <si>
    <t>ESPIRITO SANTO DO PINHAL</t>
  </si>
  <si>
    <t>FARTURA</t>
  </si>
  <si>
    <t>FERNANDOPOLIS</t>
  </si>
  <si>
    <t>FERRAZ DE VASCONCELOS</t>
  </si>
  <si>
    <t>FRANCA</t>
  </si>
  <si>
    <t>FRANCISCO MORATO</t>
  </si>
  <si>
    <t>FRANCO DA ROCHA</t>
  </si>
  <si>
    <t>GABRIEL MONTEIRO</t>
  </si>
  <si>
    <t>GALIA</t>
  </si>
  <si>
    <t>GARCA</t>
  </si>
  <si>
    <t>GLICERIO</t>
  </si>
  <si>
    <t>GUAIRA</t>
  </si>
  <si>
    <t>GUARARAPES</t>
  </si>
  <si>
    <t>GUARAREMA</t>
  </si>
  <si>
    <t>GUARATINGUETA</t>
  </si>
  <si>
    <t>GUAREI</t>
  </si>
  <si>
    <t>GUARIBA</t>
  </si>
  <si>
    <t>GUARUJA</t>
  </si>
  <si>
    <t>GUARULHOS</t>
  </si>
  <si>
    <t>HOLAMBRA</t>
  </si>
  <si>
    <t>HORTOLANDIA</t>
  </si>
  <si>
    <t>IACANGA</t>
  </si>
  <si>
    <t>IBIRAREMA</t>
  </si>
  <si>
    <t>ILHABELA</t>
  </si>
  <si>
    <t>INDAIATUBA</t>
  </si>
  <si>
    <t>IPEUNA</t>
  </si>
  <si>
    <t>ITAI</t>
  </si>
  <si>
    <t>ITANHAEM</t>
  </si>
  <si>
    <t>ITAPECERICA DA SERRA</t>
  </si>
  <si>
    <t>ITAPETININGA</t>
  </si>
  <si>
    <t>ITAPEVA</t>
  </si>
  <si>
    <t>ITAPEVI</t>
  </si>
  <si>
    <t>ITAPOLIS</t>
  </si>
  <si>
    <t>ITAPUI</t>
  </si>
  <si>
    <t>ITAQUAQUECETUBA</t>
  </si>
  <si>
    <t>ITATIBA</t>
  </si>
  <si>
    <t>ITATINGA</t>
  </si>
  <si>
    <t>ITIRAPINA</t>
  </si>
  <si>
    <t>ITU</t>
  </si>
  <si>
    <t>ITUPEVA</t>
  </si>
  <si>
    <t>ITUVERAVA</t>
  </si>
  <si>
    <t>JABOTICABAL</t>
  </si>
  <si>
    <t>JACAREI</t>
  </si>
  <si>
    <t>JAGUARIUNA</t>
  </si>
  <si>
    <t>JALES</t>
  </si>
  <si>
    <t>JARDINOPOLIS</t>
  </si>
  <si>
    <t>JARINU</t>
  </si>
  <si>
    <t>JAU</t>
  </si>
  <si>
    <t>JOAO RAMALHO</t>
  </si>
  <si>
    <t>JUNDIAI</t>
  </si>
  <si>
    <t>LAGOINHA</t>
  </si>
  <si>
    <t>LARANJAL PAULISTA</t>
  </si>
  <si>
    <t>LAVINIA</t>
  </si>
  <si>
    <t>LEME</t>
  </si>
  <si>
    <t>LENCOIS PAULISTA</t>
  </si>
  <si>
    <t>LIMEIRA</t>
  </si>
  <si>
    <t>LINDOIA</t>
  </si>
  <si>
    <t>LINS</t>
  </si>
  <si>
    <t>LORENA</t>
  </si>
  <si>
    <t>LOUVEIRA</t>
  </si>
  <si>
    <t>LUIS ANTONIO</t>
  </si>
  <si>
    <t>MACATUBA</t>
  </si>
  <si>
    <t>MAIRIPORA</t>
  </si>
  <si>
    <t>MARACAI</t>
  </si>
  <si>
    <t>MARILIA</t>
  </si>
  <si>
    <t>MATAO</t>
  </si>
  <si>
    <t>MAUA</t>
  </si>
  <si>
    <t>MIRANDOPOLIS</t>
  </si>
  <si>
    <t>MIRASSOL</t>
  </si>
  <si>
    <t>MOCOCA</t>
  </si>
  <si>
    <t>MOGI DAS CRUZES</t>
  </si>
  <si>
    <t>MOGI GUACU</t>
  </si>
  <si>
    <t>MOGI MIRIM</t>
  </si>
  <si>
    <t>MOMBUCA</t>
  </si>
  <si>
    <t>MONGAGUA</t>
  </si>
  <si>
    <t>MONTE ALEGRE DO SUL</t>
  </si>
  <si>
    <t>MONTE ALTO</t>
  </si>
  <si>
    <t>MONTE MOR</t>
  </si>
  <si>
    <t>MORRO AGUDO</t>
  </si>
  <si>
    <t>MORUNGABA</t>
  </si>
  <si>
    <t>NOVA GUATAPORANGA</t>
  </si>
  <si>
    <t>NOVA ODESSA</t>
  </si>
  <si>
    <t>OLIMPIA</t>
  </si>
  <si>
    <t>ORLANDIA</t>
  </si>
  <si>
    <t>OSASCO</t>
  </si>
  <si>
    <t>OSVALDO CRUZ</t>
  </si>
  <si>
    <t>OURINHOS</t>
  </si>
  <si>
    <t>PALMARES PAULISTA</t>
  </si>
  <si>
    <t>PALMEIRA D'OESTE</t>
  </si>
  <si>
    <t>PALMITAL</t>
  </si>
  <si>
    <t>PARAGUACU PAULISTA</t>
  </si>
  <si>
    <t>PARIQUERA-ACU</t>
  </si>
  <si>
    <t>PAULINIA</t>
  </si>
  <si>
    <t>PEDERNEIRAS</t>
  </si>
  <si>
    <t>PEDREGULHO</t>
  </si>
  <si>
    <t>PEDREIRA</t>
  </si>
  <si>
    <t>PEDRINHAS PAULISTA</t>
  </si>
  <si>
    <t>PENAPOLIS</t>
  </si>
  <si>
    <t>PERUIBE</t>
  </si>
  <si>
    <t>PILAR DO SUL</t>
  </si>
  <si>
    <t>PINDAMONHANGABA</t>
  </si>
  <si>
    <t>PINDORAMA</t>
  </si>
  <si>
    <t>PIRACICABA</t>
  </si>
  <si>
    <t>PIRAJU</t>
  </si>
  <si>
    <t>PIRANGI</t>
  </si>
  <si>
    <t>PIRASSUNUNGA</t>
  </si>
  <si>
    <t>PITANGUEIRAS</t>
  </si>
  <si>
    <t>POMPEIA</t>
  </si>
  <si>
    <t>PONTAL</t>
  </si>
  <si>
    <t>PORTO FERREIRA</t>
  </si>
  <si>
    <t>PRADOPOLIS</t>
  </si>
  <si>
    <t>PRAIA GRANDE</t>
  </si>
  <si>
    <t>PRATANIA</t>
  </si>
  <si>
    <t>PRESIDENTE PRUDENTE</t>
  </si>
  <si>
    <t>PRESIDENTE VENCESLAU</t>
  </si>
  <si>
    <t>RANCHARIA</t>
  </si>
  <si>
    <t>REDENCAO DA SERRA</t>
  </si>
  <si>
    <t>REGENTE FEIJO</t>
  </si>
  <si>
    <t>REGINOPOLIS</t>
  </si>
  <si>
    <t>REGISTRO</t>
  </si>
  <si>
    <t>RIBEIRAO PIRES</t>
  </si>
  <si>
    <t>RIBEIRAO PRETO</t>
  </si>
  <si>
    <t>RINCAO</t>
  </si>
  <si>
    <t>RIO CLARO</t>
  </si>
  <si>
    <t>RIO DAS PEDRAS</t>
  </si>
  <si>
    <t>RIO GRANDE DA SERRA</t>
  </si>
  <si>
    <t>RIOLANDIA</t>
  </si>
  <si>
    <t>ROSANA</t>
  </si>
  <si>
    <t>RUBINEIA</t>
  </si>
  <si>
    <t>SALES</t>
  </si>
  <si>
    <t>SALES OLIVEIRA</t>
  </si>
  <si>
    <t>SALTO</t>
  </si>
  <si>
    <t>SALTO DE PIRAPORA</t>
  </si>
  <si>
    <t>SANDOVALINA</t>
  </si>
  <si>
    <t>SANTA BARBARA D'OESTE</t>
  </si>
  <si>
    <t>SANTA CRUZ DO RIO PARDO</t>
  </si>
  <si>
    <t>SANTA ERNESTINA</t>
  </si>
  <si>
    <t>SANTA GERTRUDES</t>
  </si>
  <si>
    <t>SANTA ISABEL</t>
  </si>
  <si>
    <t>SANTA MERCEDES</t>
  </si>
  <si>
    <t>SANTANA DE PARNAIBA</t>
  </si>
  <si>
    <t>SANTA ROSA DE VITERBO</t>
  </si>
  <si>
    <t>SANTO ANDRE</t>
  </si>
  <si>
    <t>SANTO ANTONIO DO PINHAL</t>
  </si>
  <si>
    <t>SANTOS</t>
  </si>
  <si>
    <t>SAO BERNARDO DO CAMPO</t>
  </si>
  <si>
    <t>SAO CAETANO DO SUL</t>
  </si>
  <si>
    <t>SAO CARLOS</t>
  </si>
  <si>
    <t>SAO JOAO DA BOA VISTA</t>
  </si>
  <si>
    <t>SAO JOAQUIM DA BARRA</t>
  </si>
  <si>
    <t>SAO JOSE DO BARREIRO</t>
  </si>
  <si>
    <t>SAO JOSE DO RIO PRETO</t>
  </si>
  <si>
    <t>SAO JOSE DOS CAMPOS</t>
  </si>
  <si>
    <t>SAO PAULO</t>
  </si>
  <si>
    <t>SAO PEDRO</t>
  </si>
  <si>
    <t>SAO PEDRO DO TURVO</t>
  </si>
  <si>
    <t>SAO ROQUE</t>
  </si>
  <si>
    <t>SAO SEBASTIAO</t>
  </si>
  <si>
    <t>SAO SIMAO</t>
  </si>
  <si>
    <t>SAO VICENTE</t>
  </si>
  <si>
    <t>SERRANA</t>
  </si>
  <si>
    <t>SERRA NEGRA</t>
  </si>
  <si>
    <t>SERTAOZINHO</t>
  </si>
  <si>
    <t>SETE BARRAS</t>
  </si>
  <si>
    <t>SOCORRO</t>
  </si>
  <si>
    <t>SOROCABA</t>
  </si>
  <si>
    <t>SUMARE</t>
  </si>
  <si>
    <t>SUZANO</t>
  </si>
  <si>
    <t>SUZANAPOLIS</t>
  </si>
  <si>
    <t>TABATINGA</t>
  </si>
  <si>
    <t>TABOAO DA SERRA</t>
  </si>
  <si>
    <t>TAGUAI</t>
  </si>
  <si>
    <t>TAQUARITINGA</t>
  </si>
  <si>
    <t>TAQUARITUBA</t>
  </si>
  <si>
    <t>TATUI</t>
  </si>
  <si>
    <t>TAUBATE</t>
  </si>
  <si>
    <t>TIETE</t>
  </si>
  <si>
    <t>TUPA</t>
  </si>
  <si>
    <t>TUPI PAULISTA</t>
  </si>
  <si>
    <t>UBATUBA</t>
  </si>
  <si>
    <t>URANIA</t>
  </si>
  <si>
    <t>VALENTIM GENTIL</t>
  </si>
  <si>
    <t>VALINHOS</t>
  </si>
  <si>
    <t>VALPARAISO</t>
  </si>
  <si>
    <t>VARGEM GRANDE DO SUL</t>
  </si>
  <si>
    <t>VARGEM GRANDE PAULISTA</t>
  </si>
  <si>
    <t>VINHEDO</t>
  </si>
  <si>
    <t>VOTORANTIM</t>
  </si>
  <si>
    <t>VOTUPORANGA</t>
  </si>
  <si>
    <t>MUNICIPIO</t>
  </si>
  <si>
    <t>ANGRA DOS REIS</t>
  </si>
  <si>
    <t>ARARUAMA</t>
  </si>
  <si>
    <t>-</t>
  </si>
  <si>
    <t>AREAL</t>
  </si>
  <si>
    <t>ARRAIAL DO CABO</t>
  </si>
  <si>
    <t>BARRA DO PIRAI</t>
  </si>
  <si>
    <t>BELFORD ROXO</t>
  </si>
  <si>
    <t>BOM JESUS DO ITABAPOANA</t>
  </si>
  <si>
    <t>CABO FRIO</t>
  </si>
  <si>
    <t>CAMPOS DOS GOYTACAZES</t>
  </si>
  <si>
    <t>CARDOSO MOREIRA</t>
  </si>
  <si>
    <t>CARMO</t>
  </si>
  <si>
    <t>CORDEIRO</t>
  </si>
  <si>
    <t>DUQUE DE CAXIAS</t>
  </si>
  <si>
    <t>ITABORAI</t>
  </si>
  <si>
    <t>ITAGUAI</t>
  </si>
  <si>
    <t>ITALVA</t>
  </si>
  <si>
    <t>ITAPERUNA</t>
  </si>
  <si>
    <t>LAJE DO MURIAE</t>
  </si>
  <si>
    <t>MACAE</t>
  </si>
  <si>
    <t>MAGE</t>
  </si>
  <si>
    <t>MARICA</t>
  </si>
  <si>
    <t>MESQUITA</t>
  </si>
  <si>
    <t>NILOPOLIS</t>
  </si>
  <si>
    <t>NITEROI</t>
  </si>
  <si>
    <t>NOVA FRIBURGO</t>
  </si>
  <si>
    <t>NOVA IGUACU</t>
  </si>
  <si>
    <t>PARAIBA DO SUL</t>
  </si>
  <si>
    <t>PARATY</t>
  </si>
  <si>
    <t>PETROPOLIS</t>
  </si>
  <si>
    <t>PINHEIRAL</t>
  </si>
  <si>
    <t>PIRAI</t>
  </si>
  <si>
    <t>PORCIUNCULA</t>
  </si>
  <si>
    <t>QUEIMADOS</t>
  </si>
  <si>
    <t>RESENDE</t>
  </si>
  <si>
    <t>RIO BONITO</t>
  </si>
  <si>
    <t>RIO DAS OSTRAS</t>
  </si>
  <si>
    <t>RIO DE JANEIRO</t>
  </si>
  <si>
    <t>SAO GONCALO</t>
  </si>
  <si>
    <t>SAO JOAO DE MERITI</t>
  </si>
  <si>
    <t>SAO JOSE DE UBA</t>
  </si>
  <si>
    <t>SAO JOSE DO VALE DO RIO PRETO</t>
  </si>
  <si>
    <t>SAO PEDRO DA ALDEIA</t>
  </si>
  <si>
    <t>SAPUCAIA</t>
  </si>
  <si>
    <t>SAQUAREMA</t>
  </si>
  <si>
    <t>SEROPEDICA</t>
  </si>
  <si>
    <t>SILVA JARDIM</t>
  </si>
  <si>
    <t>TERESOPOLIS</t>
  </si>
  <si>
    <t>TRES RIOS</t>
  </si>
  <si>
    <t>VALENCA</t>
  </si>
  <si>
    <t>VASSOURAS</t>
  </si>
  <si>
    <t>VOLTA REDONDA</t>
  </si>
  <si>
    <t>AFONSO CLAUDIO</t>
  </si>
  <si>
    <t>2021 NAO HA REGISTRO NO TABNET - SEM NOTIFICAÇÕES</t>
  </si>
  <si>
    <t>ALEGRE</t>
  </si>
  <si>
    <t>ALFREDO CHAVES</t>
  </si>
  <si>
    <t>ANCHIETA</t>
  </si>
  <si>
    <t>ARACRUZ</t>
  </si>
  <si>
    <t>ATILIO VIVACQUA</t>
  </si>
  <si>
    <t>BOA ESPERANCA</t>
  </si>
  <si>
    <t>BOM JESUS DO NORTE</t>
  </si>
  <si>
    <t>CACHOEIRO DE ITAPEMIRIM</t>
  </si>
  <si>
    <t>CARIACICA</t>
  </si>
  <si>
    <t>CASTELO</t>
  </si>
  <si>
    <t>COLATINA</t>
  </si>
  <si>
    <t>CONCEICAO DA BARRA</t>
  </si>
  <si>
    <t>GOVERNADOR LINDENBERG</t>
  </si>
  <si>
    <t>GUACUI</t>
  </si>
  <si>
    <t>GUARAPARI</t>
  </si>
  <si>
    <t>IBATIBA</t>
  </si>
  <si>
    <t>ICONHA</t>
  </si>
  <si>
    <t>IRUPI</t>
  </si>
  <si>
    <t>ITAGUACU</t>
  </si>
  <si>
    <t>ITAPEMIRIM</t>
  </si>
  <si>
    <t>IUNA</t>
  </si>
  <si>
    <t>JAGUARE</t>
  </si>
  <si>
    <t>JOAO NEIVA</t>
  </si>
  <si>
    <t>LARANJA DA TERRA</t>
  </si>
  <si>
    <t>LINHARES</t>
  </si>
  <si>
    <t>MANTENOPOLIS</t>
  </si>
  <si>
    <t>MARILANDIA</t>
  </si>
  <si>
    <t>MIMOSO DO SUL</t>
  </si>
  <si>
    <t>MONTANHA</t>
  </si>
  <si>
    <t>MUNIZ FREIRE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</si>
  <si>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</si>
  <si>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</si>
  <si>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</si>
  <si>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</si>
  <si>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</si>
  <si>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</si>
  <si>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</si>
  <si>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</si>
  <si>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</si>
  <si>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</si>
  <si>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SAO DOMINGOS DO NORTE</t>
  </si>
  <si>
    <t>SAO GABRIEL DA PALHA</t>
  </si>
  <si>
    <t>SAO MATEUS</t>
  </si>
  <si>
    <t>SAO ROQUE DO CANAA</t>
  </si>
  <si>
    <t>SERRA</t>
  </si>
  <si>
    <t>VARGEM ALTA</t>
  </si>
  <si>
    <t>VENDA NOVA DO IMIGRANTE</t>
  </si>
  <si>
    <t>VIANA</t>
  </si>
  <si>
    <t>VILA PAVAO</t>
  </si>
  <si>
    <t>VILA VELHA</t>
  </si>
  <si>
    <t>VITORIA</t>
  </si>
  <si>
    <t>ABAETE</t>
  </si>
  <si>
    <t>ABRE CAMPO</t>
  </si>
  <si>
    <t>ACAIACA</t>
  </si>
  <si>
    <t>AGUANIL</t>
  </si>
  <si>
    <t>AGUAS FORMOSAS</t>
  </si>
  <si>
    <t>AIMORES</t>
  </si>
  <si>
    <t>ALEM PARAIBA</t>
  </si>
  <si>
    <t>ALFENAS</t>
  </si>
  <si>
    <t>ALTO RIO DOCE</t>
  </si>
  <si>
    <t>AMPARO DO SERRA</t>
  </si>
  <si>
    <t>ANDRADAS</t>
  </si>
  <si>
    <t>ANTONIO DIAS</t>
  </si>
  <si>
    <t>ARAGUARI</t>
  </si>
  <si>
    <t>ARAPORA</t>
  </si>
  <si>
    <t>ARAXA</t>
  </si>
  <si>
    <t>ARCEBURGO</t>
  </si>
  <si>
    <t>ARCOS</t>
  </si>
  <si>
    <t>AREADO</t>
  </si>
  <si>
    <t>ARINOS</t>
  </si>
  <si>
    <t>ASTOLFO DUTRA</t>
  </si>
  <si>
    <t>AUGUSTO DE LIMA</t>
  </si>
  <si>
    <t>BAEPENDI</t>
  </si>
  <si>
    <t>BAMBUI</t>
  </si>
  <si>
    <t>BANDEIRA DO SUL</t>
  </si>
  <si>
    <t>BARAO DE COCAIS</t>
  </si>
  <si>
    <t>BARBACENA</t>
  </si>
  <si>
    <t>BELO HORIZONTE</t>
  </si>
  <si>
    <t>BETIM</t>
  </si>
  <si>
    <t>BOCAIUVA</t>
  </si>
  <si>
    <t>BOM DESPACHO</t>
  </si>
  <si>
    <t>BOM REPOUSO</t>
  </si>
  <si>
    <t>BOM SUCESSO</t>
  </si>
  <si>
    <t>BORDA DA MATA</t>
  </si>
  <si>
    <t>BRASILANDIA DE MINAS</t>
  </si>
  <si>
    <t>BRASILIA DE MINAS</t>
  </si>
  <si>
    <t>BRAZOPOLIS</t>
  </si>
  <si>
    <t>BRUMADINHO</t>
  </si>
  <si>
    <t>BURITIZEIRO</t>
  </si>
  <si>
    <t>CABO VERDE</t>
  </si>
  <si>
    <t>CAETANOPOLIS</t>
  </si>
  <si>
    <t>CAETE</t>
  </si>
  <si>
    <t>CAJURI</t>
  </si>
  <si>
    <t>CAMBUI</t>
  </si>
  <si>
    <t>CAMPANARIO</t>
  </si>
  <si>
    <t>CAMPO BELO</t>
  </si>
  <si>
    <t>CAMPO DO MEIO</t>
  </si>
  <si>
    <t>CANAPOLIS</t>
  </si>
  <si>
    <t>CAPELINHA</t>
  </si>
  <si>
    <t>CAPETINGA</t>
  </si>
  <si>
    <t>CAPINOPOLIS</t>
  </si>
  <si>
    <t>CARANDAI</t>
  </si>
  <si>
    <t>CARMO DA CACHOEIRA</t>
  </si>
  <si>
    <t>CARMO DA MATA</t>
  </si>
  <si>
    <t>CARMO DE MINAS</t>
  </si>
  <si>
    <t>CARMO DO PARANAIBA</t>
  </si>
  <si>
    <t>CARMO DO RIO CLARO</t>
  </si>
  <si>
    <t>CARMOPOLIS DE MINAS</t>
  </si>
  <si>
    <t>CARNEIRINHO</t>
  </si>
  <si>
    <t>CARVALHOS</t>
  </si>
  <si>
    <t>CATAGUASES</t>
  </si>
  <si>
    <t>CAXAMBU</t>
  </si>
  <si>
    <t>CENTRALINA</t>
  </si>
  <si>
    <t>CHALE</t>
  </si>
  <si>
    <t>CLARO DOS POCOES</t>
  </si>
  <si>
    <t>CLAUDIO</t>
  </si>
  <si>
    <t>CONCEICAO DA APARECIDA</t>
  </si>
  <si>
    <t>CONCEICAO DAS PEDRAS</t>
  </si>
  <si>
    <t>CONCEICAO DO MATO DENTRO</t>
  </si>
  <si>
    <t>CONCEICAO DO PARA</t>
  </si>
  <si>
    <t>CONCEICAO DO RIO VERDE</t>
  </si>
  <si>
    <t>CONEGO MARINHO</t>
  </si>
  <si>
    <t>CONGONHAL</t>
  </si>
  <si>
    <t>CONGONHAS</t>
  </si>
  <si>
    <t>CONSELHEIRO LAFAIETE</t>
  </si>
  <si>
    <t>CONSELHEIRO PENA</t>
  </si>
  <si>
    <t>CONTAGEM</t>
  </si>
  <si>
    <t>CORDISBURGO</t>
  </si>
  <si>
    <t>COROMANDEL</t>
  </si>
  <si>
    <t>CORONEL FABRICIANO</t>
  </si>
  <si>
    <t>CORREGO DO BOM JESUS</t>
  </si>
  <si>
    <t>CRISTAIS</t>
  </si>
  <si>
    <t>CRUZILIA</t>
  </si>
  <si>
    <t>CUPARAQUE</t>
  </si>
  <si>
    <t>CURVELO</t>
  </si>
  <si>
    <t>DATAS</t>
  </si>
  <si>
    <t>DELFINOPOLIS</t>
  </si>
  <si>
    <t>DIAMANTINA</t>
  </si>
  <si>
    <t>DIONISIO</t>
  </si>
  <si>
    <t>DIVINOLANDIA DE MINAS</t>
  </si>
  <si>
    <t>DIVINOPOLIS</t>
  </si>
  <si>
    <t>DORES DE CAMPOS</t>
  </si>
  <si>
    <t>ELOI MENDES</t>
  </si>
  <si>
    <t>ENGENHEIRO NAVARRO</t>
  </si>
  <si>
    <t>ENTRE FOLHAS</t>
  </si>
  <si>
    <t>ERVALIA</t>
  </si>
  <si>
    <t>ESMERALDAS</t>
  </si>
  <si>
    <t>ESPERA FELIZ</t>
  </si>
  <si>
    <t>ESPINOSA</t>
  </si>
  <si>
    <t>ESPIRITO SANTO DO DOURADO</t>
  </si>
  <si>
    <t>ESTIVA</t>
  </si>
  <si>
    <t>ESTRELA DO SUL</t>
  </si>
  <si>
    <t>EXTREMA</t>
  </si>
  <si>
    <t>FERVEDOURO</t>
  </si>
  <si>
    <t>FORMIGA</t>
  </si>
  <si>
    <t>FORMOSO</t>
  </si>
  <si>
    <t>FRANCISCO DUMONT</t>
  </si>
  <si>
    <t>FRANCISCO SA</t>
  </si>
  <si>
    <t>FRUTAL</t>
  </si>
  <si>
    <t>GOVERNADOR VALADARES</t>
  </si>
  <si>
    <t>GUANHAES</t>
  </si>
  <si>
    <t>GUAPE</t>
  </si>
  <si>
    <t>GUARANESIA</t>
  </si>
  <si>
    <t>GURINHATA</t>
  </si>
  <si>
    <t>IBERTIOGA</t>
  </si>
  <si>
    <t>IBIRACI</t>
  </si>
  <si>
    <t>IBIRITE</t>
  </si>
  <si>
    <t>IGARAPE</t>
  </si>
  <si>
    <t>IGARATINGA</t>
  </si>
  <si>
    <t>IJACI</t>
  </si>
  <si>
    <t>INCONFIDENTES</t>
  </si>
  <si>
    <t>INGAI</t>
  </si>
  <si>
    <t>INHAPIM</t>
  </si>
  <si>
    <t>IPATINGA</t>
  </si>
  <si>
    <t>IPIACU</t>
  </si>
  <si>
    <t>IPUIUNA</t>
  </si>
  <si>
    <t>ITABIRA</t>
  </si>
  <si>
    <t>ITABIRITO</t>
  </si>
  <si>
    <t>ITACARAMBI</t>
  </si>
  <si>
    <t>ITAJUBA</t>
  </si>
  <si>
    <t>ITAMBACURI</t>
  </si>
  <si>
    <t>ITAMONTE</t>
  </si>
  <si>
    <t>ITANHANDU</t>
  </si>
  <si>
    <t>ITAOBIM</t>
  </si>
  <si>
    <t>ITAPAGIPE</t>
  </si>
  <si>
    <t>ITATIAIUCU</t>
  </si>
  <si>
    <t>ITAUNA</t>
  </si>
  <si>
    <t>ITUIUTABA</t>
  </si>
  <si>
    <t>ITURAMA</t>
  </si>
  <si>
    <t>JABOTICATUBAS</t>
  </si>
  <si>
    <t>JANAUBA</t>
  </si>
  <si>
    <t>JANUARIA</t>
  </si>
  <si>
    <t>JEQUITINHONHA</t>
  </si>
  <si>
    <t>JOANESIA</t>
  </si>
  <si>
    <t>JOAO MONLEVADE</t>
  </si>
  <si>
    <t>JOAO PINHEIRO</t>
  </si>
  <si>
    <t>NOVA UNIAO</t>
  </si>
  <si>
    <t>JUATUBA</t>
  </si>
  <si>
    <t>JUIZ DE FORA</t>
  </si>
  <si>
    <t>LADAINHA</t>
  </si>
  <si>
    <t>LAGOA DOURADA</t>
  </si>
  <si>
    <t>LAGOA SANTA</t>
  </si>
  <si>
    <t>LARANJAL</t>
  </si>
  <si>
    <t>LAVRAS</t>
  </si>
  <si>
    <t>LEOPOLDINA</t>
  </si>
  <si>
    <t>LIMA DUARTE</t>
  </si>
  <si>
    <t>LONTRA</t>
  </si>
  <si>
    <t>MACHADO</t>
  </si>
  <si>
    <t>MALACACHETA</t>
  </si>
  <si>
    <t>MANHUACU</t>
  </si>
  <si>
    <t>MARIA DA FE</t>
  </si>
  <si>
    <t>MARIANA</t>
  </si>
  <si>
    <t>MARTINHO CAMPOS</t>
  </si>
  <si>
    <t>MATEUS LEME</t>
  </si>
  <si>
    <t>MATIPO</t>
  </si>
  <si>
    <t>MATOZINHOS</t>
  </si>
  <si>
    <t>MATUTINA</t>
  </si>
  <si>
    <t>MERCES</t>
  </si>
  <si>
    <t>MINAS NOVAS</t>
  </si>
  <si>
    <t>MIRAI</t>
  </si>
  <si>
    <t>MONJOLOS</t>
  </si>
  <si>
    <t>MONSENHOR PAULO</t>
  </si>
  <si>
    <t>MONTE ALEGRE DE MINAS</t>
  </si>
  <si>
    <t>MONTE BELO</t>
  </si>
  <si>
    <t>MONTE CARMELO</t>
  </si>
  <si>
    <t>MONTES CLAROS</t>
  </si>
  <si>
    <t>MONTE SIAO</t>
  </si>
  <si>
    <t>MORRO DA GARCA</t>
  </si>
  <si>
    <t>MURIAE</t>
  </si>
  <si>
    <t>MUTUM</t>
  </si>
  <si>
    <t>MUZAMBINHO</t>
  </si>
  <si>
    <t>NANUQUE</t>
  </si>
  <si>
    <t>NAQUE</t>
  </si>
  <si>
    <t>NEPOMUCENO</t>
  </si>
  <si>
    <t>NINHEIRA</t>
  </si>
  <si>
    <t>NOVA LIMA</t>
  </si>
  <si>
    <t>NOVA PONTE</t>
  </si>
  <si>
    <t>NOVA RESENDE</t>
  </si>
  <si>
    <t>NOVA SERRANA</t>
  </si>
  <si>
    <t>NOVO ORIENTE DE MINAS</t>
  </si>
  <si>
    <t>OLIVEIRA</t>
  </si>
  <si>
    <t>OURO BRANCO</t>
  </si>
  <si>
    <t>OURO FINO</t>
  </si>
  <si>
    <t>OURO PRETO</t>
  </si>
  <si>
    <t>PAINS</t>
  </si>
  <si>
    <t>PAPAGAIOS</t>
  </si>
  <si>
    <t>PARACATU</t>
  </si>
  <si>
    <t>PARA DE MINAS</t>
  </si>
  <si>
    <t>PARAISOPOLIS</t>
  </si>
  <si>
    <t>PASSA QUATRO</t>
  </si>
  <si>
    <t>PASSOS</t>
  </si>
  <si>
    <t>PATOS DE MINAS</t>
  </si>
  <si>
    <t>PATROCINIO DO MURIAE</t>
  </si>
  <si>
    <t>PAVAO</t>
  </si>
  <si>
    <t>PECANHA</t>
  </si>
  <si>
    <t>PEDRA AZUL</t>
  </si>
  <si>
    <t>PEDRA DO INDAIA</t>
  </si>
  <si>
    <t>PEDRALVA</t>
  </si>
  <si>
    <t>PEQUI</t>
  </si>
  <si>
    <t>PERDOES</t>
  </si>
  <si>
    <t>PIEDADE DE CARATINGA</t>
  </si>
  <si>
    <t>PIEDADE DOS GERAIS</t>
  </si>
  <si>
    <t>PIRAJUBA</t>
  </si>
  <si>
    <t>PIRANGA</t>
  </si>
  <si>
    <t>PIRANGUINHO</t>
  </si>
  <si>
    <t>PIRAPORA</t>
  </si>
  <si>
    <t>PIRAUBA</t>
  </si>
  <si>
    <t>PITANGUI</t>
  </si>
  <si>
    <t>PIUMHI</t>
  </si>
  <si>
    <t>PLANURA</t>
  </si>
  <si>
    <t>POCO FUNDO</t>
  </si>
  <si>
    <t>POCOS DE CALDAS</t>
  </si>
  <si>
    <t>POMPEU</t>
  </si>
  <si>
    <t>PONTO DOS VOLANTES</t>
  </si>
  <si>
    <t>PORTEIRINHA</t>
  </si>
  <si>
    <t>POTE</t>
  </si>
  <si>
    <t>POUSO ALEGRE</t>
  </si>
  <si>
    <t>PRADOS</t>
  </si>
  <si>
    <t>PRATA</t>
  </si>
  <si>
    <t>PRESIDENTE JUSCELINO</t>
  </si>
  <si>
    <t>PRESIDENTE OLEGARIO</t>
  </si>
  <si>
    <t>ALTO JEQUITIBA</t>
  </si>
  <si>
    <t>RAUL SOARES</t>
  </si>
  <si>
    <t>RECREIO</t>
  </si>
  <si>
    <t>RIBEIRAO DAS NEVES</t>
  </si>
  <si>
    <t>RIO ACIMA</t>
  </si>
  <si>
    <t>RIO MANSO</t>
  </si>
  <si>
    <t>RIO NOVO</t>
  </si>
  <si>
    <t>RIO PARANAIBA</t>
  </si>
  <si>
    <t>RIO PIRACICABA</t>
  </si>
  <si>
    <t>RUBELITA</t>
  </si>
  <si>
    <t>SABARA</t>
  </si>
  <si>
    <t>SABINOPOLIS</t>
  </si>
  <si>
    <t>SACRAMENTO</t>
  </si>
  <si>
    <t>SANTA BARBARA</t>
  </si>
  <si>
    <t>SANTA BARBARA DO LESTE</t>
  </si>
  <si>
    <t>SANTA JULIANA</t>
  </si>
  <si>
    <t>SANTA LUZIA</t>
  </si>
  <si>
    <t>SANTANA DA VARGEM</t>
  </si>
  <si>
    <t>SANTANA DO PARAISO</t>
  </si>
  <si>
    <t>SANTA RITA DE JACUTINGA</t>
  </si>
  <si>
    <t>SANTA RITA DE MINAS</t>
  </si>
  <si>
    <t>SANTA RITA DO SAPUCAI</t>
  </si>
  <si>
    <t>SANTA VITORIA</t>
  </si>
  <si>
    <t>SANTO ANTONIO DO AMPARO</t>
  </si>
  <si>
    <t>SANTO ANTONIO DO AVENTUREIRO</t>
  </si>
  <si>
    <t>SANTO HIPOLITO</t>
  </si>
  <si>
    <t>SAO BRAS DO SUACUI</t>
  </si>
  <si>
    <t>SAO FRANCISCO DE SALES</t>
  </si>
  <si>
    <t>SAO GONCALO DO ABAETE</t>
  </si>
  <si>
    <t>SAO GONCALO DO PARA</t>
  </si>
  <si>
    <t>SAO GONCALO DO SAPUCAI</t>
  </si>
  <si>
    <t>SAO GOTARDO</t>
  </si>
  <si>
    <t>SAO JOAO BATISTA DO GLORIA</t>
  </si>
  <si>
    <t>SAO JOAO DA MATA</t>
  </si>
  <si>
    <t>SAO JOAO DEL REI</t>
  </si>
  <si>
    <t>SAO JOAQUIM DE BICAS</t>
  </si>
  <si>
    <t>SAO JOSE DA BARRA</t>
  </si>
  <si>
    <t>SAO JOSE DA LAPA</t>
  </si>
  <si>
    <t>SAO JOSE DO ALEGRE</t>
  </si>
  <si>
    <t>SAO LOURENCO</t>
  </si>
  <si>
    <t>SAO PEDRO DA UNIAO</t>
  </si>
  <si>
    <t>SAO SEBASTIAO DA VARGEM ALEGRE</t>
  </si>
  <si>
    <t>SAO SEBASTIAO DO OESTE</t>
  </si>
  <si>
    <t>SAO SEBASTIAO DO PARAISO</t>
  </si>
  <si>
    <t>SAO SEBASTIAO DO RIO VERDE</t>
  </si>
  <si>
    <t>SERRA DO SALITRE</t>
  </si>
  <si>
    <t>SERRANIA</t>
  </si>
  <si>
    <t>SERRO</t>
  </si>
  <si>
    <t>SETE LAGOAS</t>
  </si>
  <si>
    <t>SILVEIRANIA</t>
  </si>
  <si>
    <t>SOLEDADE DE MINAS</t>
  </si>
  <si>
    <t>TAIOBEIRAS</t>
  </si>
  <si>
    <t>TEOFILO OTONI</t>
  </si>
  <si>
    <t>TIMOTEO</t>
  </si>
  <si>
    <t>TRES CORACOES</t>
  </si>
  <si>
    <t>TRES MARIAS</t>
  </si>
  <si>
    <t>TRES PONTAS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</si>
  <si>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</si>
  <si>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</si>
  <si>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</si>
  <si>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</si>
  <si>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</si>
  <si>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</si>
  <si>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</si>
  <si>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</si>
  <si>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UNAI</t>
  </si>
  <si>
    <t>URUCANIA</t>
  </si>
  <si>
    <t>VARGEM BONITA</t>
  </si>
  <si>
    <t>VARGINHA</t>
  </si>
  <si>
    <t>VARZEA DA PALMA</t>
  </si>
  <si>
    <t>VESPASIANO</t>
  </si>
  <si>
    <t>VICOSA</t>
  </si>
  <si>
    <t>VIRGINIA</t>
  </si>
  <si>
    <t>VIRGOLANDIA</t>
  </si>
  <si>
    <t>VISCONDE DO RIO BRANCO</t>
  </si>
  <si>
    <t>Cobertura Vacinal (%) - São Paulo 2015 a 2025</t>
  </si>
  <si>
    <t>Cobertura Vacinal (%) - Rio de Janeiro 2015 a 2025</t>
  </si>
  <si>
    <t>Cobertura Vacinal (%) - Espirito Santo 2015 a 2025</t>
  </si>
  <si>
    <t>Cobertura Vacinal (%) - Minas Gerais  2015 a 2025</t>
  </si>
  <si>
    <t>Municípios</t>
  </si>
  <si>
    <t>Penta ate 2022</t>
  </si>
  <si>
    <t>Penta 23 a 25</t>
  </si>
  <si>
    <t>MÉDIA</t>
  </si>
  <si>
    <t>Angra dos Reis</t>
  </si>
  <si>
    <t>Alegre</t>
  </si>
  <si>
    <t>Abadia dos Dourados</t>
  </si>
  <si>
    <t>Aperibé</t>
  </si>
  <si>
    <t>Alfredo Chaves</t>
  </si>
  <si>
    <t>Abaeté</t>
  </si>
  <si>
    <t>Araruama</t>
  </si>
  <si>
    <t>Anchieta</t>
  </si>
  <si>
    <t>Abre Campo</t>
  </si>
  <si>
    <t>Areal</t>
  </si>
  <si>
    <t>Apiacá</t>
  </si>
  <si>
    <t>Acaiaca</t>
  </si>
  <si>
    <t>Armação dos Búzios</t>
  </si>
  <si>
    <t>Atílio Vivacqua</t>
  </si>
  <si>
    <t>Açucena</t>
  </si>
  <si>
    <t>Arraial do Cabo</t>
  </si>
  <si>
    <t>Bom Jesus do Norte</t>
  </si>
  <si>
    <t>Água Boa</t>
  </si>
  <si>
    <t>Barra do Piraí</t>
  </si>
  <si>
    <t>Cachoeiro de Itapemirim</t>
  </si>
  <si>
    <t>Água Comprida</t>
  </si>
  <si>
    <t>Barra Mansa</t>
  </si>
  <si>
    <t>Castelo</t>
  </si>
  <si>
    <t>Aguanil</t>
  </si>
  <si>
    <t>Belford Roxo</t>
  </si>
  <si>
    <t>Divino de São Lourenço</t>
  </si>
  <si>
    <t>Águas Formosas</t>
  </si>
  <si>
    <t>Bom Jardim</t>
  </si>
  <si>
    <t>Dores do Rio Preto</t>
  </si>
  <si>
    <t>Águas Vermelhas</t>
  </si>
  <si>
    <t>Bom Jesus do Itabapoana</t>
  </si>
  <si>
    <t>Guaçuí</t>
  </si>
  <si>
    <t>Aimorés</t>
  </si>
  <si>
    <t>Cabo Frio</t>
  </si>
  <si>
    <t>Ibitirama</t>
  </si>
  <si>
    <t>Aiuruoca</t>
  </si>
  <si>
    <t>Cachoeiras de Macacu</t>
  </si>
  <si>
    <t>Iconha</t>
  </si>
  <si>
    <t>Alagoa</t>
  </si>
  <si>
    <t>Cambuci</t>
  </si>
  <si>
    <t>Irupi</t>
  </si>
  <si>
    <t>Albertina</t>
  </si>
  <si>
    <t>Campos dos Goytacazes</t>
  </si>
  <si>
    <t>Itapemirim</t>
  </si>
  <si>
    <t>Além Paraíba</t>
  </si>
  <si>
    <t>Cantagalo</t>
  </si>
  <si>
    <t>Iúna</t>
  </si>
  <si>
    <t>Alfenas</t>
  </si>
  <si>
    <t>Carapebus</t>
  </si>
  <si>
    <t>jerônimo Monteiro</t>
  </si>
  <si>
    <t>Alfredo Vasconcelos</t>
  </si>
  <si>
    <t>Marataízes</t>
  </si>
  <si>
    <t>Almenara</t>
  </si>
  <si>
    <t>Carmo</t>
  </si>
  <si>
    <t>Mimoso do Sul</t>
  </si>
  <si>
    <t>Alpercata</t>
  </si>
  <si>
    <t>Casimiro de Abreu</t>
  </si>
  <si>
    <t>Muniz Freire</t>
  </si>
  <si>
    <t>Alpinópolis</t>
  </si>
  <si>
    <t>Comendador Levy Gasparian</t>
  </si>
  <si>
    <t>Muqui</t>
  </si>
  <si>
    <t>Alterosa</t>
  </si>
  <si>
    <t>Conceição de Macabu</t>
  </si>
  <si>
    <t>Piúma</t>
  </si>
  <si>
    <t>Alto Caparaó</t>
  </si>
  <si>
    <t>Cordeiro</t>
  </si>
  <si>
    <t>Presidente Kennedy</t>
  </si>
  <si>
    <t>Alto Rio Doce</t>
  </si>
  <si>
    <t>Duas Barras</t>
  </si>
  <si>
    <t>Rio Novo do Sul</t>
  </si>
  <si>
    <t>Alvarenga</t>
  </si>
  <si>
    <t>Duque de Caxias</t>
  </si>
  <si>
    <t>São José do Calçado</t>
  </si>
  <si>
    <t>Alvinópolis</t>
  </si>
  <si>
    <t>Engenheiro Paulo de Frontin</t>
  </si>
  <si>
    <t>Vargem Alta</t>
  </si>
  <si>
    <t>Alvorada de Minas</t>
  </si>
  <si>
    <t>Guapimirim</t>
  </si>
  <si>
    <t>Afonso Cláudio</t>
  </si>
  <si>
    <t>Amparo do Serra</t>
  </si>
  <si>
    <t>Iguaba Grande</t>
  </si>
  <si>
    <t>Aracruz</t>
  </si>
  <si>
    <t>Andradas</t>
  </si>
  <si>
    <t>Itaboraí</t>
  </si>
  <si>
    <t>Itaguaí</t>
  </si>
  <si>
    <t>Cariacica</t>
  </si>
  <si>
    <t>Andrelândia</t>
  </si>
  <si>
    <t>Italva</t>
  </si>
  <si>
    <t>Conceição do Castelo</t>
  </si>
  <si>
    <t>Angelândia</t>
  </si>
  <si>
    <t>Itaocara</t>
  </si>
  <si>
    <t>Domingos Martins</t>
  </si>
  <si>
    <t>Antônio Carlos</t>
  </si>
  <si>
    <t>Itaperuna</t>
  </si>
  <si>
    <t>Fundão</t>
  </si>
  <si>
    <t>Antônio Dias</t>
  </si>
  <si>
    <t>Itatiaia</t>
  </si>
  <si>
    <t>Guarapari</t>
  </si>
  <si>
    <t>Antônio Prado de Minas</t>
  </si>
  <si>
    <t>Japeri</t>
  </si>
  <si>
    <t>Ibatiba</t>
  </si>
  <si>
    <t>Araçaí</t>
  </si>
  <si>
    <t>Laje do Muriaé</t>
  </si>
  <si>
    <t>Ibiraçu</t>
  </si>
  <si>
    <t>Aracitaba</t>
  </si>
  <si>
    <t>Macaé</t>
  </si>
  <si>
    <t>Itaguaçu</t>
  </si>
  <si>
    <t>Araçuaí</t>
  </si>
  <si>
    <t>Macuco</t>
  </si>
  <si>
    <t>Itarana</t>
  </si>
  <si>
    <t>Araguari</t>
  </si>
  <si>
    <t>Magé</t>
  </si>
  <si>
    <t>João Neiva</t>
  </si>
  <si>
    <t>Arantina</t>
  </si>
  <si>
    <t>Mangaratiba</t>
  </si>
  <si>
    <t>Laranja da Terra</t>
  </si>
  <si>
    <t>Araponga</t>
  </si>
  <si>
    <t>Maricá</t>
  </si>
  <si>
    <t>Marechal Floriano</t>
  </si>
  <si>
    <t>Araporã</t>
  </si>
  <si>
    <t>Mendes</t>
  </si>
  <si>
    <t>Santa Leopoldina</t>
  </si>
  <si>
    <t>Arapuá</t>
  </si>
  <si>
    <t>Mesquita</t>
  </si>
  <si>
    <t>Santa Maria de Jetibá</t>
  </si>
  <si>
    <t>Araújos</t>
  </si>
  <si>
    <t>Miguel Pereira</t>
  </si>
  <si>
    <t>Santa Teresa</t>
  </si>
  <si>
    <t>Araxá</t>
  </si>
  <si>
    <t>Miracema</t>
  </si>
  <si>
    <t>Serra</t>
  </si>
  <si>
    <t>Arceburgo</t>
  </si>
  <si>
    <t>Natividade</t>
  </si>
  <si>
    <t>Venda Nova do Imigrante</t>
  </si>
  <si>
    <t>Arcos</t>
  </si>
  <si>
    <t>Nilópolis</t>
  </si>
  <si>
    <t>Viana</t>
  </si>
  <si>
    <t>Areado</t>
  </si>
  <si>
    <t>Niterói</t>
  </si>
  <si>
    <t>Vila Velha</t>
  </si>
  <si>
    <t>Argirita</t>
  </si>
  <si>
    <t>Nova Friburgo</t>
  </si>
  <si>
    <t>Vitória</t>
  </si>
  <si>
    <t>Aricanduva</t>
  </si>
  <si>
    <t>Nova Iguaçu</t>
  </si>
  <si>
    <t>Águia Branca</t>
  </si>
  <si>
    <t>Arinos</t>
  </si>
  <si>
    <t>Paracambi</t>
  </si>
  <si>
    <t>Alto Rio Novo</t>
  </si>
  <si>
    <t>Astolfo Dutra</t>
  </si>
  <si>
    <t>Paraíba do Sul</t>
  </si>
  <si>
    <t>Baixo Guandu</t>
  </si>
  <si>
    <t>Ataléia</t>
  </si>
  <si>
    <t>Paraty</t>
  </si>
  <si>
    <t>Colatina</t>
  </si>
  <si>
    <t>Augusto de Lima</t>
  </si>
  <si>
    <t>Paty do Alferes</t>
  </si>
  <si>
    <t>Governador Lindenberg</t>
  </si>
  <si>
    <t>Baependi</t>
  </si>
  <si>
    <t>Petrópolis</t>
  </si>
  <si>
    <t>Linhares</t>
  </si>
  <si>
    <t>Baldim</t>
  </si>
  <si>
    <t>Pinheiral</t>
  </si>
  <si>
    <t>Mantenópolis</t>
  </si>
  <si>
    <t>Bambuí</t>
  </si>
  <si>
    <t>Piraí</t>
  </si>
  <si>
    <t>Marilândia</t>
  </si>
  <si>
    <t>Bandeira</t>
  </si>
  <si>
    <t>Porciúncula</t>
  </si>
  <si>
    <t>Pancas</t>
  </si>
  <si>
    <t>Bandeira do Sul</t>
  </si>
  <si>
    <t>Porto Real</t>
  </si>
  <si>
    <t>Rio Bananal</t>
  </si>
  <si>
    <t>Barão de Cocais</t>
  </si>
  <si>
    <t>Quatis</t>
  </si>
  <si>
    <t>São Domingos do Norte</t>
  </si>
  <si>
    <t>Barão de Monte Alto</t>
  </si>
  <si>
    <t>Queimados</t>
  </si>
  <si>
    <t>São Gabriel da Palha</t>
  </si>
  <si>
    <t>Barbacena</t>
  </si>
  <si>
    <t>Quissamã</t>
  </si>
  <si>
    <t>São Roque do Canaã</t>
  </si>
  <si>
    <t>Barra Longa</t>
  </si>
  <si>
    <t>Resende</t>
  </si>
  <si>
    <t>Sooretama</t>
  </si>
  <si>
    <t>Barroso</t>
  </si>
  <si>
    <t>Rio Bonito</t>
  </si>
  <si>
    <t>Vila Valério</t>
  </si>
  <si>
    <t>Bela Vista de Minas</t>
  </si>
  <si>
    <t>Rio Claro</t>
  </si>
  <si>
    <t>Água Doce do Norte</t>
  </si>
  <si>
    <t>Belmiro Braga</t>
  </si>
  <si>
    <t>Rio das Flores</t>
  </si>
  <si>
    <t>Barra de São Francisco</t>
  </si>
  <si>
    <t>Belo Horizonte</t>
  </si>
  <si>
    <t>Rio das Ostras</t>
  </si>
  <si>
    <t>Boa Esperança</t>
  </si>
  <si>
    <t>Belo Oriente</t>
  </si>
  <si>
    <t>Rio de Janeiro</t>
  </si>
  <si>
    <t>Conceição da Barra</t>
  </si>
  <si>
    <t>Belo Vale</t>
  </si>
  <si>
    <t>Santa Maria Madalena</t>
  </si>
  <si>
    <t>Ecoporanga</t>
  </si>
  <si>
    <t>Berilo</t>
  </si>
  <si>
    <t>Santo Antônio de Pádua</t>
  </si>
  <si>
    <t>Jaguaré</t>
  </si>
  <si>
    <t>Bertópolis</t>
  </si>
  <si>
    <t>São Fidélis</t>
  </si>
  <si>
    <t>Montanha</t>
  </si>
  <si>
    <t>Berizal</t>
  </si>
  <si>
    <t>São Francisco de Itabapoana</t>
  </si>
  <si>
    <t>Mucurici</t>
  </si>
  <si>
    <t>Betim</t>
  </si>
  <si>
    <t>São Gonçalo</t>
  </si>
  <si>
    <t>Nova Venécia</t>
  </si>
  <si>
    <t>Bias Fortes</t>
  </si>
  <si>
    <t>São João da Barra</t>
  </si>
  <si>
    <t>Pedro Canário</t>
  </si>
  <si>
    <t>Bicas</t>
  </si>
  <si>
    <t>São João de Meriti</t>
  </si>
  <si>
    <t>Pinheiros</t>
  </si>
  <si>
    <t>Biquinhas</t>
  </si>
  <si>
    <t>São José de Ubá</t>
  </si>
  <si>
    <t>Ponto Belo</t>
  </si>
  <si>
    <t>São José do Vale do Rio Preto</t>
  </si>
  <si>
    <t>São Mateus</t>
  </si>
  <si>
    <t>Bocaina de Minas</t>
  </si>
  <si>
    <t>São Pedro da Aldeia</t>
  </si>
  <si>
    <t>Vila Pavão</t>
  </si>
  <si>
    <t>Bocaiúva</t>
  </si>
  <si>
    <t>São Sebastião do Alto</t>
  </si>
  <si>
    <t>Bom Despacho</t>
  </si>
  <si>
    <t>Sapucaia</t>
  </si>
  <si>
    <t>Bom Jardim de Minas</t>
  </si>
  <si>
    <t>Saquarema</t>
  </si>
  <si>
    <t>Bom Jesus da Penha</t>
  </si>
  <si>
    <t>Seropédica</t>
  </si>
  <si>
    <t>Bom Jesus do Amparo</t>
  </si>
  <si>
    <t>Silva Jardim</t>
  </si>
  <si>
    <t>Bom Jesus do Galho</t>
  </si>
  <si>
    <t>Sumidouro</t>
  </si>
  <si>
    <t>Bom Repouso</t>
  </si>
  <si>
    <t>Tanguá</t>
  </si>
  <si>
    <t>Bom Sucesso</t>
  </si>
  <si>
    <t>Teresópolis</t>
  </si>
  <si>
    <t>Bonfim</t>
  </si>
  <si>
    <t>Trajano de Moraes</t>
  </si>
  <si>
    <t>Bonfinópolis de Minas</t>
  </si>
  <si>
    <t>Três Rios</t>
  </si>
  <si>
    <t>Bonito de Minas</t>
  </si>
  <si>
    <t>Valença</t>
  </si>
  <si>
    <t>Borda da Mata</t>
  </si>
  <si>
    <t>Varre-Sai</t>
  </si>
  <si>
    <t>Botelhos</t>
  </si>
  <si>
    <t>Vassouras</t>
  </si>
  <si>
    <t>Botumirim</t>
  </si>
  <si>
    <t>Volta Redonda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</si>
  <si>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</si>
  <si>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</si>
  <si>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</si>
  <si>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</si>
  <si>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</si>
  <si>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</si>
  <si>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</si>
  <si>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</si>
  <si>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</si>
  <si>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</si>
  <si>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</si>
  <si>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</si>
  <si>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</si>
  <si>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</si>
  <si>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</si>
  <si>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</si>
  <si>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</si>
  <si>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</si>
  <si>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</si>
  <si>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</si>
  <si>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</si>
  <si>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</si>
  <si>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</si>
  <si>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</si>
  <si>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</si>
  <si>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</si>
  <si>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</si>
  <si>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</si>
  <si>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</si>
  <si>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</si>
  <si>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</si>
  <si>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</si>
  <si>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</si>
  <si>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</si>
  <si>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</si>
  <si>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</si>
  <si>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Canápolis</t>
  </si>
  <si>
    <t>Cana Verde</t>
  </si>
  <si>
    <t>Candeias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</si>
  <si>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</si>
  <si>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</si>
  <si>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</si>
  <si>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</si>
  <si>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</si>
  <si>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</si>
  <si>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</si>
  <si>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</si>
  <si>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</si>
  <si>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</si>
  <si>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</si>
  <si>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</si>
  <si>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</si>
  <si>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</si>
  <si>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</si>
  <si>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</si>
  <si>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</si>
  <si>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</si>
  <si>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</si>
  <si>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</si>
  <si>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</si>
  <si>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</si>
  <si>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</si>
  <si>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</si>
  <si>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</si>
  <si>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</si>
  <si>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</si>
  <si>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</si>
  <si>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</si>
  <si>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</si>
  <si>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</si>
  <si>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</si>
  <si>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</si>
  <si>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</si>
  <si>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</si>
  <si>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</si>
  <si>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</si>
  <si>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</si>
  <si>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</si>
  <si>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</si>
  <si>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</si>
  <si>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</si>
  <si>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</si>
  <si>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</si>
  <si>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</si>
  <si>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</si>
  <si>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</si>
  <si>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</si>
  <si>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</si>
  <si>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</si>
  <si>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</si>
  <si>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</si>
  <si>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</si>
  <si>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</si>
  <si>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</si>
  <si>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</si>
  <si>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</si>
  <si>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</si>
  <si>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</si>
  <si>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</si>
  <si>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</si>
  <si>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</si>
  <si>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</si>
  <si>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</si>
  <si>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</si>
  <si>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</si>
  <si>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</si>
  <si>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</si>
  <si>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</si>
  <si>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</si>
  <si>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</si>
  <si>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</si>
  <si>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</si>
  <si>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</si>
  <si>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</si>
  <si>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</si>
  <si>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</si>
  <si>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</si>
  <si>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</si>
  <si>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</si>
  <si>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</si>
  <si>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</si>
  <si>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</si>
  <si>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</si>
  <si>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</si>
  <si>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</si>
  <si>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</si>
  <si>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</si>
  <si>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</si>
  <si>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</si>
  <si>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</si>
  <si>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</si>
  <si>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</si>
  <si>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</si>
  <si>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</si>
  <si>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</si>
  <si>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</si>
  <si>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</si>
  <si>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</si>
  <si>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</si>
  <si>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</si>
  <si>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</si>
  <si>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</si>
  <si>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</si>
  <si>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</si>
  <si>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</si>
  <si>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</si>
  <si>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</si>
  <si>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</si>
  <si>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</si>
  <si>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</si>
  <si>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</si>
  <si>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</si>
  <si>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</si>
  <si>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</si>
  <si>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</si>
  <si>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</si>
  <si>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</si>
  <si>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</si>
  <si>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</si>
  <si>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</si>
  <si>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</si>
  <si>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</si>
  <si>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</si>
  <si>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</si>
  <si>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</si>
  <si>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</si>
  <si>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</si>
  <si>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</si>
  <si>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</si>
  <si>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</si>
  <si>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</si>
  <si>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</si>
  <si>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</si>
  <si>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</si>
  <si>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</si>
  <si>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</si>
  <si>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</si>
  <si>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</si>
  <si>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</si>
  <si>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</si>
  <si>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</si>
  <si>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</si>
  <si>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</si>
  <si>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</si>
  <si>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</si>
  <si>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</si>
  <si>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</si>
  <si>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</si>
  <si>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</si>
  <si>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</si>
  <si>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</si>
  <si>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</si>
  <si>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</si>
  <si>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</si>
  <si>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</si>
  <si>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</si>
  <si>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</si>
  <si>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</si>
  <si>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</si>
  <si>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</si>
  <si>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</si>
  <si>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</si>
  <si>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</si>
  <si>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</si>
  <si>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</si>
  <si>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</si>
  <si>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</si>
  <si>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</si>
  <si>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</si>
  <si>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</si>
  <si>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</si>
  <si>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</si>
  <si>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</si>
  <si>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</si>
  <si>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</si>
  <si>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</si>
  <si>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</si>
  <si>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</si>
  <si>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</si>
  <si>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</si>
  <si>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</si>
  <si>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</si>
  <si>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</si>
  <si>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</si>
  <si>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</si>
  <si>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</si>
  <si>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</si>
  <si>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</si>
  <si>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</si>
  <si>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</si>
  <si>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</si>
  <si>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</si>
  <si>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</si>
  <si>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</si>
  <si>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</si>
  <si>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</si>
  <si>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</si>
  <si>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</si>
  <si>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</si>
  <si>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</si>
  <si>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</si>
  <si>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</si>
  <si>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</si>
  <si>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</si>
  <si>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</si>
  <si>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</si>
  <si>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</si>
  <si>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</si>
  <si>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</si>
  <si>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</si>
  <si>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</si>
  <si>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</si>
  <si>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</si>
  <si>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</si>
  <si>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</si>
  <si>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</si>
  <si>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</si>
  <si>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</si>
  <si>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</si>
  <si>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</si>
  <si>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</si>
  <si>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</si>
  <si>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</si>
  <si>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</si>
  <si>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</si>
  <si>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</si>
  <si>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</si>
  <si>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</si>
  <si>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</si>
  <si>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</si>
  <si>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</si>
  <si>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</si>
  <si>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</si>
  <si>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</si>
  <si>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</si>
  <si>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</si>
  <si>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</si>
  <si>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</si>
  <si>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</si>
  <si>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</si>
  <si>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</si>
  <si>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</si>
  <si>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</si>
  <si>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</si>
  <si>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</si>
  <si>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</si>
  <si>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</si>
  <si>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</si>
  <si>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</si>
  <si>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</si>
  <si>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</si>
  <si>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</si>
  <si>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</si>
  <si>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</si>
  <si>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</si>
  <si>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</si>
  <si>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</si>
  <si>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</si>
  <si>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</si>
  <si>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</si>
  <si>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</si>
  <si>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</si>
  <si>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</si>
  <si>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</si>
  <si>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</si>
  <si>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</si>
  <si>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</si>
  <si>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</si>
  <si>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</si>
  <si>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</si>
  <si>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</si>
  <si>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</si>
  <si>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</si>
  <si>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</si>
  <si>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</si>
  <si>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</si>
  <si>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</si>
  <si>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</si>
  <si>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</si>
  <si>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</si>
  <si>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</si>
  <si>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</si>
  <si>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</si>
  <si>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</si>
  <si>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</si>
  <si>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</si>
  <si>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</si>
  <si>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</si>
  <si>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</si>
  <si>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</si>
  <si>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</si>
  <si>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</si>
  <si>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</si>
  <si>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</si>
  <si>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</si>
  <si>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</si>
  <si>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</si>
  <si>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</si>
  <si>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</si>
  <si>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</si>
  <si>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</si>
  <si>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</si>
  <si>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</si>
  <si>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</si>
  <si>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</si>
  <si>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</si>
  <si>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</si>
  <si>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</si>
  <si>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</si>
  <si>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</si>
  <si>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</si>
  <si>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</si>
  <si>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</si>
  <si>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</si>
  <si>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</si>
  <si>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</si>
  <si>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</si>
  <si>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</si>
  <si>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</si>
  <si>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</si>
  <si>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</si>
  <si>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</si>
  <si>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</si>
  <si>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</si>
  <si>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</si>
  <si>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</si>
  <si>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</si>
  <si>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</si>
  <si>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</si>
  <si>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</si>
  <si>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</si>
  <si>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</si>
  <si>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</si>
  <si>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</si>
  <si>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</si>
  <si>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</si>
  <si>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</si>
  <si>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</si>
  <si>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</si>
  <si>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</si>
  <si>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</si>
  <si>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</si>
  <si>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</si>
  <si>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</si>
  <si>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</si>
  <si>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</si>
  <si>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</si>
  <si>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</si>
  <si>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</si>
  <si>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</si>
  <si>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</si>
  <si>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</si>
  <si>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</si>
  <si>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</si>
  <si>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</si>
  <si>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</si>
  <si>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</si>
  <si>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</si>
  <si>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</si>
  <si>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</si>
  <si>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</si>
  <si>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</si>
  <si>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</si>
  <si>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</si>
  <si>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</si>
  <si>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</si>
  <si>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</si>
  <si>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</si>
  <si>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</si>
  <si>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</si>
  <si>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</si>
  <si>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</si>
  <si>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</si>
  <si>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</si>
  <si>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</si>
  <si>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</si>
  <si>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</si>
  <si>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</si>
  <si>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</si>
  <si>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</si>
  <si>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</si>
  <si>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</si>
  <si>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</si>
  <si>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</si>
  <si>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</si>
  <si>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</si>
  <si>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</si>
  <si>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</si>
  <si>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</si>
  <si>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</si>
  <si>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</si>
  <si>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</si>
  <si>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</si>
  <si>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</si>
  <si>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</si>
  <si>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</si>
  <si>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</si>
  <si>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</si>
  <si>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</si>
  <si>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</si>
  <si>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</si>
  <si>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</si>
  <si>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</si>
  <si>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</si>
  <si>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</si>
  <si>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</si>
  <si>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</si>
  <si>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</si>
  <si>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</si>
  <si>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</si>
  <si>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</si>
  <si>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</si>
  <si>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</si>
  <si>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</si>
  <si>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</si>
  <si>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</si>
  <si>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</si>
  <si>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</si>
  <si>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</si>
  <si>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</si>
  <si>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</si>
  <si>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</si>
  <si>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</si>
  <si>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</si>
  <si>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</si>
  <si>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</si>
  <si>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</si>
  <si>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</si>
  <si>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</si>
  <si>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</si>
  <si>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</si>
  <si>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</si>
  <si>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</si>
  <si>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</si>
  <si>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</si>
  <si>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</si>
  <si>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</si>
  <si>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</si>
  <si>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</si>
  <si>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</si>
  <si>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</si>
  <si>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</si>
  <si>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</si>
  <si>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</si>
  <si>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</si>
  <si>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</si>
  <si>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</si>
  <si>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</si>
  <si>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</si>
  <si>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</si>
  <si>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</si>
  <si>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</si>
  <si>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</si>
  <si>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</si>
  <si>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</si>
  <si>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</si>
  <si>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</si>
  <si>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</si>
  <si>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</si>
  <si>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</si>
  <si>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</si>
  <si>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</si>
  <si>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</si>
  <si>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</si>
  <si>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</si>
  <si>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</si>
  <si>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</si>
  <si>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</si>
  <si>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</si>
  <si>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</si>
  <si>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</si>
  <si>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</si>
  <si>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</si>
  <si>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</si>
  <si>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</si>
  <si>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</si>
  <si>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</si>
  <si>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</si>
  <si>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</si>
  <si>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</si>
  <si>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</si>
  <si>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</si>
  <si>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</si>
  <si>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</si>
  <si>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</si>
  <si>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</si>
  <si>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</si>
  <si>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</si>
  <si>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</si>
  <si>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</si>
  <si>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</si>
  <si>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</si>
  <si>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</si>
  <si>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</si>
  <si>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</si>
  <si>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</si>
  <si>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</si>
  <si>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</si>
  <si>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</si>
  <si>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</si>
  <si>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</si>
  <si>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</si>
  <si>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</si>
  <si>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</si>
  <si>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</si>
  <si>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</si>
  <si>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</si>
  <si>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</si>
  <si>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</si>
  <si>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</si>
  <si>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</si>
  <si>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</si>
  <si>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</si>
  <si>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</si>
  <si>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</si>
  <si>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</si>
  <si>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</si>
  <si>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</si>
  <si>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</si>
  <si>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</si>
  <si>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</si>
  <si>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</si>
  <si>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</si>
  <si>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</si>
  <si>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</si>
  <si>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</si>
  <si>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</si>
  <si>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</si>
  <si>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</si>
  <si>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</si>
  <si>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</si>
  <si>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</si>
  <si>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</si>
  <si>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</si>
  <si>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</si>
  <si>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</si>
  <si>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</si>
  <si>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</si>
  <si>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</si>
  <si>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</si>
  <si>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</si>
  <si>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</si>
  <si>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</si>
  <si>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</si>
  <si>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</si>
  <si>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</si>
  <si>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</si>
  <si>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</si>
  <si>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</si>
  <si>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</si>
  <si>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</si>
  <si>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</si>
  <si>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</si>
  <si>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</si>
  <si>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</si>
  <si>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</si>
  <si>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</si>
  <si>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</si>
  <si>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</si>
  <si>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</si>
  <si>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</si>
  <si>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</si>
  <si>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</si>
  <si>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</si>
  <si>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</si>
  <si>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</si>
  <si>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</si>
  <si>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</si>
  <si>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</si>
  <si>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</si>
  <si>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</si>
  <si>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</si>
  <si>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</si>
  <si>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</si>
  <si>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</si>
  <si>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</si>
  <si>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</si>
  <si>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</si>
  <si>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</si>
  <si>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</si>
  <si>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</si>
  <si>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</si>
  <si>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</si>
  <si>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</si>
  <si>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</si>
  <si>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</si>
  <si>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</si>
  <si>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</si>
  <si>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</si>
  <si>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</si>
  <si>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</si>
  <si>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</si>
  <si>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</si>
  <si>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</si>
  <si>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</si>
  <si>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</si>
  <si>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</si>
  <si>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</si>
  <si>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</si>
  <si>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</si>
  <si>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</si>
  <si>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</si>
  <si>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</si>
  <si>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</si>
  <si>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</si>
  <si>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</si>
  <si>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</si>
  <si>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</si>
  <si>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</si>
  <si>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</si>
  <si>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</si>
  <si>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</si>
  <si>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</si>
  <si>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</si>
  <si>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</si>
  <si>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</si>
  <si>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</si>
  <si>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</si>
  <si>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</si>
  <si>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</si>
  <si>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</si>
  <si>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</si>
  <si>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</si>
  <si>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</si>
  <si>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</si>
  <si>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</si>
  <si>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</si>
  <si>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</si>
  <si>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</si>
  <si>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</si>
  <si>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</si>
  <si>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</si>
  <si>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</si>
  <si>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</si>
  <si>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</si>
  <si>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</si>
  <si>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</si>
  <si>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</si>
  <si>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</si>
  <si>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</si>
  <si>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</si>
  <si>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</si>
  <si>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</si>
  <si>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</si>
  <si>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</si>
  <si>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</si>
  <si>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</si>
  <si>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</si>
  <si>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</si>
  <si>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</si>
  <si>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</si>
  <si>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</si>
  <si>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</si>
  <si>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</si>
  <si>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</si>
  <si>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</si>
  <si>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</si>
  <si>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</si>
  <si>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</si>
  <si>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</si>
  <si>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</si>
  <si>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</si>
  <si>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</si>
  <si>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</si>
  <si>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</si>
  <si>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</si>
  <si>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</si>
  <si>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</si>
  <si>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</si>
  <si>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</si>
  <si>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</si>
  <si>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</si>
  <si>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</si>
  <si>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</si>
  <si>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</si>
  <si>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</si>
  <si>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</si>
  <si>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</si>
  <si>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</si>
  <si>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</si>
  <si>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</si>
  <si>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</si>
  <si>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</si>
  <si>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</si>
  <si>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</si>
  <si>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</si>
  <si>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</si>
  <si>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</si>
  <si>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</si>
  <si>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</si>
  <si>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</si>
  <si>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</si>
  <si>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</si>
  <si>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</si>
  <si>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</si>
  <si>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</si>
  <si>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</si>
  <si>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</si>
  <si>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</si>
  <si>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</si>
  <si>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</si>
  <si>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</si>
  <si>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</si>
  <si>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</si>
  <si>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</si>
  <si>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</si>
  <si>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</si>
  <si>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</si>
  <si>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</si>
  <si>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</si>
  <si>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</si>
  <si>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</si>
  <si>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</si>
  <si>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</si>
  <si>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</si>
  <si>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</si>
  <si>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</si>
  <si>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</si>
  <si>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ANO</t>
  </si>
  <si>
    <t>COQUELUCHE</t>
  </si>
  <si>
    <t>POPULACAO</t>
  </si>
  <si>
    <t>NÃO PRECISA FAZER NADA AQUI</t>
  </si>
  <si>
    <t>Coqueluche: 2015 a 2025</t>
  </si>
  <si>
    <t>UF de notificação</t>
  </si>
  <si>
    <t>Ignorado</t>
  </si>
  <si>
    <t>Masculino</t>
  </si>
  <si>
    <t>Feminino</t>
  </si>
  <si>
    <t>Total</t>
  </si>
  <si>
    <t>Minas Gerais</t>
  </si>
  <si>
    <t>Espírito Santo</t>
  </si>
  <si>
    <t>São Paulo</t>
  </si>
  <si>
    <t>Branca</t>
  </si>
  <si>
    <t>Preta</t>
  </si>
  <si>
    <t>Amarela</t>
  </si>
  <si>
    <t>Parda</t>
  </si>
  <si>
    <t>Indigena</t>
  </si>
  <si>
    <t>&lt;1 Ano</t>
  </si>
  <si>
    <t>1-4</t>
  </si>
  <si>
    <t>5-9</t>
  </si>
  <si>
    <t>10-14</t>
  </si>
  <si>
    <t>15-19</t>
  </si>
  <si>
    <t>20-39</t>
  </si>
  <si>
    <t>40-59</t>
  </si>
  <si>
    <t>60-64</t>
  </si>
  <si>
    <t>65-69</t>
  </si>
  <si>
    <t>70-79</t>
  </si>
  <si>
    <t>80 e +</t>
  </si>
  <si>
    <t>Urbana</t>
  </si>
  <si>
    <t>Rural</t>
  </si>
  <si>
    <t>Periurbana</t>
  </si>
  <si>
    <t>Analfabeto</t>
  </si>
  <si>
    <t>1ª a 4ª série incompleta do EF</t>
  </si>
  <si>
    <t>4ª série completa do EF</t>
  </si>
  <si>
    <t>5ª a 8ª série incompleta do EF</t>
  </si>
  <si>
    <t>Ensino fundamental completo</t>
  </si>
  <si>
    <t>Ensino médio incompleto</t>
  </si>
  <si>
    <t>Ensino médio completo</t>
  </si>
  <si>
    <t>Educação superior incompleta</t>
  </si>
  <si>
    <t>Educação superior completa</t>
  </si>
  <si>
    <t>Não se aplica</t>
  </si>
  <si>
    <t>Laboratório</t>
  </si>
  <si>
    <t>Clínico-epidemiológico</t>
  </si>
  <si>
    <t>Clínico</t>
  </si>
  <si>
    <t>Cura</t>
  </si>
  <si>
    <t>Óbito pelo agravo notificado</t>
  </si>
  <si>
    <t>Óbito por outra causa</t>
  </si>
  <si>
    <t>Tabela 1. Variáveis ​​sociodemográficas dos óbitos por diarreia e gastroenterites infecciosas em crianças menores de um ano, no período de 2002 a 2022, São Paulo, Brasil.</t>
  </si>
  <si>
    <t>Variável</t>
  </si>
  <si>
    <t>Óbitos</t>
  </si>
  <si>
    <t>n</t>
  </si>
  <si>
    <t>%</t>
  </si>
  <si>
    <t>Gênero</t>
  </si>
  <si>
    <t>&lt;--- FAZER UMA TABELA COM SEUS DADOS NESTE MODELO AQUI</t>
  </si>
  <si>
    <t>Faixa Etária</t>
  </si>
  <si>
    <t>0 a 6 dias</t>
  </si>
  <si>
    <t>7 a 27 dias</t>
  </si>
  <si>
    <t>28 a 364 dias</t>
  </si>
  <si>
    <t>Raça</t>
  </si>
  <si>
    <t>Indígena</t>
  </si>
  <si>
    <t>Ignorada</t>
  </si>
  <si>
    <t>Tipo de Parto</t>
  </si>
  <si>
    <t>Vaginal</t>
  </si>
  <si>
    <t>Cesáreo</t>
  </si>
  <si>
    <t>Peso ao Nascer</t>
  </si>
  <si>
    <t>&lt; 1.000 g</t>
  </si>
  <si>
    <t>1.000 a 1.499 g</t>
  </si>
  <si>
    <t>1.500 a 2.499 g</t>
  </si>
  <si>
    <t>2.500 a 3.999 g</t>
  </si>
  <si>
    <t>≥ 4.000 g</t>
  </si>
  <si>
    <t xml:space="preserve">Ignorado
</t>
  </si>
  <si>
    <t>Idade da mãe</t>
  </si>
  <si>
    <t>10 a 19 anos</t>
  </si>
  <si>
    <t>20 a 29 anos</t>
  </si>
  <si>
    <t>30 a 39 anos</t>
  </si>
  <si>
    <t>40 a 49 anos</t>
  </si>
  <si>
    <t>Idade ignorada</t>
  </si>
  <si>
    <t>Escolaridade da mãe</t>
  </si>
  <si>
    <t>Nenhuma</t>
  </si>
  <si>
    <t>1 a 3 anos</t>
  </si>
  <si>
    <t>4 a 7 anos</t>
  </si>
  <si>
    <t>8 a 11 anos</t>
  </si>
  <si>
    <t>12 anos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</si>
</sst>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>
    <font>
      <sz val="11"/>
      <color theme="1"/>
      <name val="Calibri"/>
      <scheme val="minor"/>
    </font>
    <font>
      <b/>
      <sz val="12"/>
      <color rgb="FF000000"/>
      <name val="Arial"/>
    </font>
    <font>
      <b/>
      <sz val="11"/>
      <color theme="1"/>
      <name val="Calibri"/>
    </font>
    <font>
      <sz val="11"/>
      <color rgb="FF0D0D0D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5" fillId="0" borderId="3" xfId="0" applyFont="1" applyBorder="1"/>
    <xf numFmtId="0" fontId="6" fillId="0" borderId="1" xfId="0" applyFont="1" applyBorder="1" applyAlignment="1"/>
    <xf numFmtId="0" fontId="5" fillId="0" borderId="2" xfId="0" applyFont="1" applyBorder="1"/>
    <xf numFmtId="0" fontId="4" fillId="2" borderId="1" xfId="0" applyFont="1" applyFill="1" applyBorder="1" applyAlignment="1"/>
    <xf numFmtId="0" fontId="7" fillId="0" borderId="0" xfId="0" applyFont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4" fillId="0" borderId="2" xfId="0" applyFont="1" applyBorder="1" applyAlignment="1"/>
    <xf numFmtId="0" fontId="6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/>
    <xf numFmtId="3" fontId="4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/>
    <xf numFmtId="0" fontId="9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9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0" fontId="4" fillId="0" borderId="0" xfId="0" applyFont="1" applyAlignment="1">
      <alignment horizontal="right"/>
    </xf>
    <xf numFmtId="0" fontId="4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/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5" borderId="7" xfId="0" applyFont="1" applyFill="1" applyBorder="1"/>
    <xf numFmtId="0" fontId="5" fillId="5" borderId="7" xfId="0" applyFont="1" applyFill="1" applyBorder="1"/>
    <xf numFmtId="0" fontId="2" fillId="0" borderId="0" xfId="0" applyFont="1"/>
    <xf numFmtId="16" fontId="2" fillId="3" borderId="1" xfId="0" quotePrefix="1" applyNumberFormat="1" applyFont="1" applyFill="1" applyBorder="1" applyAlignment="1">
      <alignment horizontal="center" vertical="center"/>
    </xf>
    <xf numFmtId="17" fontId="2" fillId="3" borderId="1" xfId="0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6" xfId="0" applyFont="1" applyBorder="1"/>
    <xf numFmtId="0" fontId="8" fillId="0" borderId="2" xfId="0" applyFont="1" applyBorder="1"/>
    <xf numFmtId="0" fontId="2" fillId="3" borderId="3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 wrapText="1"/>
    </xf>
    <xf numFmtId="0" fontId="8" fillId="0" borderId="9" xfId="0" applyFont="1" applyBorder="1"/>
    <xf numFmtId="0" fontId="8" fillId="0" borderId="10" xfId="0" applyFont="1" applyBorder="1"/>
    <xf numFmtId="0" fontId="10" fillId="0" borderId="0" xfId="0" applyFont="1" applyAlignment="1">
      <alignment horizontal="center"/>
    </xf>
    <xf numFmtId="0" fontId="8" fillId="0" borderId="11" xfId="0" applyFont="1" applyBorder="1"/>
    <xf numFmtId="0" fontId="10" fillId="0" borderId="1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6"/>
  <sheetViews>
    <sheetView tabSelected="1" workbookViewId="0"/>
  </sheetViews>
  <sheetFormatPr defaultColWidth="14.44140625" defaultRowHeight="15" customHeight="1"/>
  <cols>
    <col min="1" max="1" width="13.88671875" customWidth="1"/>
    <col min="2" max="2" width="29.33203125" customWidth="1"/>
    <col min="3" max="14" width="8.6640625" customWidth="1"/>
    <col min="15" max="15" width="12.5546875" customWidth="1"/>
    <col min="16" max="16" width="13.109375" customWidth="1"/>
    <col min="17" max="26" width="8.6640625" customWidth="1"/>
  </cols>
  <sheetData>
    <row r="1" spans="1:16" ht="14.25" customHeight="1">
      <c r="A1" s="1" t="s">
        <v>0</v>
      </c>
      <c r="B1" s="1" t="s">
        <v>1</v>
      </c>
      <c r="C1" s="2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4" t="s">
        <v>2</v>
      </c>
      <c r="O1" s="5" t="s">
        <v>3</v>
      </c>
      <c r="P1" s="2" t="s">
        <v>4</v>
      </c>
    </row>
    <row r="2" spans="1:16" ht="14.25" customHeight="1">
      <c r="A2" s="6">
        <v>350030</v>
      </c>
      <c r="B2" s="7" t="s">
        <v>5</v>
      </c>
      <c r="C2" s="8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1</v>
      </c>
      <c r="M2" s="9">
        <v>0</v>
      </c>
      <c r="N2" s="10">
        <f t="shared" ref="N2:N255" si="0">SUM(C2:M2)</f>
        <v>1</v>
      </c>
      <c r="O2" s="11">
        <v>36648</v>
      </c>
      <c r="P2" s="12">
        <f t="shared" ref="P2:P255" si="1">N2/O2*100000</f>
        <v>2.7286618642217855</v>
      </c>
    </row>
    <row r="3" spans="1:16" ht="14.25" customHeight="1">
      <c r="A3" s="6">
        <v>350040</v>
      </c>
      <c r="B3" s="13" t="s">
        <v>6</v>
      </c>
      <c r="C3" s="8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1</v>
      </c>
      <c r="N3" s="10">
        <f t="shared" si="0"/>
        <v>1</v>
      </c>
      <c r="O3" s="11">
        <v>8221</v>
      </c>
      <c r="P3" s="12">
        <f t="shared" si="1"/>
        <v>12.163970319912419</v>
      </c>
    </row>
    <row r="4" spans="1:16" ht="14.25" customHeight="1">
      <c r="A4" s="6">
        <v>350050</v>
      </c>
      <c r="B4" s="7" t="s">
        <v>7</v>
      </c>
      <c r="C4" s="8">
        <v>0</v>
      </c>
      <c r="D4" s="9">
        <v>2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1</v>
      </c>
      <c r="M4" s="9">
        <v>2</v>
      </c>
      <c r="N4" s="10">
        <f t="shared" si="0"/>
        <v>5</v>
      </c>
      <c r="O4" s="11">
        <v>18808</v>
      </c>
      <c r="P4" s="12">
        <f t="shared" si="1"/>
        <v>26.584432156529136</v>
      </c>
    </row>
    <row r="5" spans="1:16" ht="14.25" customHeight="1">
      <c r="A5" s="6">
        <v>350060</v>
      </c>
      <c r="B5" s="7" t="s">
        <v>8</v>
      </c>
      <c r="C5" s="8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3</v>
      </c>
      <c r="M5" s="9">
        <v>0</v>
      </c>
      <c r="N5" s="10">
        <f t="shared" si="0"/>
        <v>3</v>
      </c>
      <c r="O5" s="11">
        <v>3521</v>
      </c>
      <c r="P5" s="12">
        <f t="shared" si="1"/>
        <v>85.203067310423179</v>
      </c>
    </row>
    <row r="6" spans="1:16" ht="14.25" customHeight="1">
      <c r="A6" s="6">
        <v>350070</v>
      </c>
      <c r="B6" s="7" t="s">
        <v>9</v>
      </c>
      <c r="C6" s="8">
        <v>0</v>
      </c>
      <c r="D6" s="9">
        <v>1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10">
        <f t="shared" si="0"/>
        <v>1</v>
      </c>
      <c r="O6" s="11">
        <v>37401</v>
      </c>
      <c r="P6" s="12">
        <f t="shared" si="1"/>
        <v>2.673725301462528</v>
      </c>
    </row>
    <row r="7" spans="1:16" ht="14.25" customHeight="1">
      <c r="A7" s="11">
        <v>350100</v>
      </c>
      <c r="B7" s="11" t="s">
        <v>10</v>
      </c>
      <c r="C7" s="8">
        <v>0</v>
      </c>
      <c r="D7" s="9">
        <v>0</v>
      </c>
      <c r="E7" s="9">
        <v>0</v>
      </c>
      <c r="F7" s="9">
        <v>0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1</v>
      </c>
      <c r="M7" s="9">
        <v>3</v>
      </c>
      <c r="N7" s="10">
        <f t="shared" si="0"/>
        <v>5</v>
      </c>
      <c r="O7" s="11">
        <v>16203</v>
      </c>
      <c r="P7" s="12">
        <f t="shared" si="1"/>
        <v>30.858482996975869</v>
      </c>
    </row>
    <row r="8" spans="1:16" ht="14.25" customHeight="1">
      <c r="A8" s="11">
        <v>350115</v>
      </c>
      <c r="B8" s="11" t="s">
        <v>11</v>
      </c>
      <c r="C8" s="8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</v>
      </c>
      <c r="M8" s="9">
        <v>0</v>
      </c>
      <c r="N8" s="10">
        <f t="shared" si="0"/>
        <v>1</v>
      </c>
      <c r="O8" s="11">
        <v>18767</v>
      </c>
      <c r="P8" s="12">
        <f t="shared" si="1"/>
        <v>5.3285021580433742</v>
      </c>
    </row>
    <row r="9" spans="1:16" ht="14.25" customHeight="1">
      <c r="A9" s="11">
        <v>350160</v>
      </c>
      <c r="B9" s="11" t="s">
        <v>12</v>
      </c>
      <c r="C9" s="8">
        <v>4</v>
      </c>
      <c r="D9" s="9">
        <v>0</v>
      </c>
      <c r="E9" s="9">
        <v>8</v>
      </c>
      <c r="F9" s="9">
        <v>4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6</v>
      </c>
      <c r="M9" s="9">
        <v>1</v>
      </c>
      <c r="N9" s="10">
        <f t="shared" si="0"/>
        <v>23</v>
      </c>
      <c r="O9" s="11">
        <v>242018</v>
      </c>
      <c r="P9" s="12">
        <f t="shared" si="1"/>
        <v>9.5034253650554916</v>
      </c>
    </row>
    <row r="10" spans="1:16" ht="14.25" customHeight="1">
      <c r="A10" s="11">
        <v>350170</v>
      </c>
      <c r="B10" s="11" t="s">
        <v>13</v>
      </c>
      <c r="C10" s="8">
        <v>0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10">
        <f t="shared" si="0"/>
        <v>1</v>
      </c>
      <c r="O10" s="11">
        <v>41032</v>
      </c>
      <c r="P10" s="12">
        <f t="shared" si="1"/>
        <v>2.437122246051862</v>
      </c>
    </row>
    <row r="11" spans="1:16" ht="14.25" customHeight="1">
      <c r="A11" s="11">
        <v>350190</v>
      </c>
      <c r="B11" s="11" t="s">
        <v>14</v>
      </c>
      <c r="C11" s="8">
        <v>5</v>
      </c>
      <c r="D11" s="9">
        <v>2</v>
      </c>
      <c r="E11" s="9">
        <v>2</v>
      </c>
      <c r="F11" s="9">
        <v>4</v>
      </c>
      <c r="G11" s="9">
        <v>2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10">
        <f t="shared" si="0"/>
        <v>15</v>
      </c>
      <c r="O11" s="11">
        <v>72677</v>
      </c>
      <c r="P11" s="12">
        <f t="shared" si="1"/>
        <v>20.639266893239952</v>
      </c>
    </row>
    <row r="12" spans="1:16" ht="14.25" customHeight="1">
      <c r="A12" s="11">
        <v>350200</v>
      </c>
      <c r="B12" s="11" t="s">
        <v>15</v>
      </c>
      <c r="C12" s="8">
        <v>0</v>
      </c>
      <c r="D12" s="9">
        <v>0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10">
        <f t="shared" si="0"/>
        <v>1</v>
      </c>
      <c r="O12" s="11">
        <v>5056</v>
      </c>
      <c r="P12" s="12">
        <f t="shared" si="1"/>
        <v>19.778481012658226</v>
      </c>
    </row>
    <row r="13" spans="1:16" ht="14.25" customHeight="1">
      <c r="A13" s="11">
        <v>350210</v>
      </c>
      <c r="B13" s="11" t="s">
        <v>16</v>
      </c>
      <c r="C13" s="8">
        <v>2</v>
      </c>
      <c r="D13" s="9">
        <v>1</v>
      </c>
      <c r="E13" s="9">
        <v>0</v>
      </c>
      <c r="F13" s="9">
        <v>0</v>
      </c>
      <c r="G13" s="9">
        <v>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1</v>
      </c>
      <c r="N13" s="10">
        <f t="shared" si="0"/>
        <v>6</v>
      </c>
      <c r="O13" s="11">
        <v>57202</v>
      </c>
      <c r="P13" s="12">
        <f t="shared" si="1"/>
        <v>10.489143736232998</v>
      </c>
    </row>
    <row r="14" spans="1:16" ht="14.25" customHeight="1">
      <c r="A14" s="11">
        <v>350270</v>
      </c>
      <c r="B14" s="11" t="s">
        <v>17</v>
      </c>
      <c r="C14" s="8">
        <v>2</v>
      </c>
      <c r="D14" s="9">
        <v>0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10">
        <f t="shared" si="0"/>
        <v>3</v>
      </c>
      <c r="O14" s="11">
        <v>24226</v>
      </c>
      <c r="P14" s="12">
        <f t="shared" si="1"/>
        <v>12.383389746553291</v>
      </c>
    </row>
    <row r="15" spans="1:16" ht="14.25" customHeight="1">
      <c r="A15" s="11">
        <v>350275</v>
      </c>
      <c r="B15" s="11" t="s">
        <v>18</v>
      </c>
      <c r="C15" s="8">
        <v>1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10">
        <f t="shared" si="0"/>
        <v>2</v>
      </c>
      <c r="O15" s="11">
        <v>22860</v>
      </c>
      <c r="P15" s="12">
        <f t="shared" si="1"/>
        <v>8.7489063867016625</v>
      </c>
    </row>
    <row r="16" spans="1:16" ht="14.25" customHeight="1">
      <c r="A16" s="11">
        <v>350280</v>
      </c>
      <c r="B16" s="11" t="s">
        <v>19</v>
      </c>
      <c r="C16" s="8">
        <v>1</v>
      </c>
      <c r="D16" s="9">
        <v>0</v>
      </c>
      <c r="E16" s="9">
        <v>0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5</v>
      </c>
      <c r="M16" s="9">
        <v>3</v>
      </c>
      <c r="N16" s="10">
        <f t="shared" si="0"/>
        <v>11</v>
      </c>
      <c r="O16" s="11">
        <v>198129</v>
      </c>
      <c r="P16" s="12">
        <f t="shared" si="1"/>
        <v>5.551938383578376</v>
      </c>
    </row>
    <row r="17" spans="1:16" ht="14.25" customHeight="1">
      <c r="A17" s="11">
        <v>350320</v>
      </c>
      <c r="B17" s="11" t="s">
        <v>20</v>
      </c>
      <c r="C17" s="8">
        <v>2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4</v>
      </c>
      <c r="M17" s="9">
        <v>5</v>
      </c>
      <c r="N17" s="10">
        <f t="shared" si="0"/>
        <v>12</v>
      </c>
      <c r="O17" s="11">
        <v>238339</v>
      </c>
      <c r="P17" s="12">
        <f t="shared" si="1"/>
        <v>5.0348453253559002</v>
      </c>
    </row>
    <row r="18" spans="1:16" ht="14.25" customHeight="1">
      <c r="A18" s="11">
        <v>350330</v>
      </c>
      <c r="B18" s="11" t="s">
        <v>21</v>
      </c>
      <c r="C18" s="8">
        <v>1</v>
      </c>
      <c r="D18" s="9">
        <v>0</v>
      </c>
      <c r="E18" s="9">
        <v>4</v>
      </c>
      <c r="F18" s="9">
        <v>1</v>
      </c>
      <c r="G18" s="9">
        <v>2</v>
      </c>
      <c r="H18" s="9">
        <v>1</v>
      </c>
      <c r="I18" s="9">
        <v>1</v>
      </c>
      <c r="J18" s="9">
        <v>0</v>
      </c>
      <c r="K18" s="9">
        <v>0</v>
      </c>
      <c r="L18" s="9">
        <v>5</v>
      </c>
      <c r="M18" s="9">
        <v>2</v>
      </c>
      <c r="N18" s="10">
        <f t="shared" si="0"/>
        <v>17</v>
      </c>
      <c r="O18" s="11">
        <v>135506</v>
      </c>
      <c r="P18" s="12">
        <f t="shared" si="1"/>
        <v>12.545569937862531</v>
      </c>
    </row>
    <row r="19" spans="1:16" ht="14.25" customHeight="1">
      <c r="A19" s="11">
        <v>350340</v>
      </c>
      <c r="B19" s="11" t="s">
        <v>22</v>
      </c>
      <c r="C19" s="8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10">
        <f t="shared" si="0"/>
        <v>1</v>
      </c>
      <c r="O19" s="11">
        <v>8613</v>
      </c>
      <c r="P19" s="12">
        <f t="shared" si="1"/>
        <v>11.610356437942645</v>
      </c>
    </row>
    <row r="20" spans="1:16" ht="14.25" customHeight="1">
      <c r="A20" s="11">
        <v>350360</v>
      </c>
      <c r="B20" s="11" t="s">
        <v>23</v>
      </c>
      <c r="C20" s="8">
        <v>0</v>
      </c>
      <c r="D20" s="9">
        <v>0</v>
      </c>
      <c r="E20" s="9">
        <v>0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10">
        <f t="shared" si="0"/>
        <v>1</v>
      </c>
      <c r="O20" s="11">
        <v>11158</v>
      </c>
      <c r="P20" s="12">
        <f t="shared" si="1"/>
        <v>8.9621796020792246</v>
      </c>
    </row>
    <row r="21" spans="1:16" ht="14.25" customHeight="1">
      <c r="A21" s="11">
        <v>350380</v>
      </c>
      <c r="B21" s="11" t="s">
        <v>24</v>
      </c>
      <c r="C21" s="8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1</v>
      </c>
      <c r="M21" s="9">
        <v>0</v>
      </c>
      <c r="N21" s="10">
        <f t="shared" si="0"/>
        <v>1</v>
      </c>
      <c r="O21" s="11">
        <v>55340</v>
      </c>
      <c r="P21" s="12">
        <f t="shared" si="1"/>
        <v>1.8070112034694616</v>
      </c>
    </row>
    <row r="22" spans="1:16" ht="14.25" customHeight="1">
      <c r="A22" s="11">
        <v>350400</v>
      </c>
      <c r="B22" s="11" t="s">
        <v>25</v>
      </c>
      <c r="C22" s="8">
        <v>2</v>
      </c>
      <c r="D22" s="9">
        <v>0</v>
      </c>
      <c r="E22" s="9">
        <v>1</v>
      </c>
      <c r="F22" s="9">
        <v>4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</v>
      </c>
      <c r="N22" s="10">
        <f t="shared" si="0"/>
        <v>9</v>
      </c>
      <c r="O22" s="11">
        <v>105087</v>
      </c>
      <c r="P22" s="12">
        <f t="shared" si="1"/>
        <v>8.5643324102886176</v>
      </c>
    </row>
    <row r="23" spans="1:16" ht="14.25" customHeight="1">
      <c r="A23" s="11">
        <v>350410</v>
      </c>
      <c r="B23" s="11" t="s">
        <v>26</v>
      </c>
      <c r="C23" s="8">
        <v>2</v>
      </c>
      <c r="D23" s="9">
        <v>1</v>
      </c>
      <c r="E23" s="9">
        <v>3</v>
      </c>
      <c r="F23" s="9">
        <v>4</v>
      </c>
      <c r="G23" s="9">
        <v>3</v>
      </c>
      <c r="H23" s="9">
        <v>0</v>
      </c>
      <c r="I23" s="9">
        <v>0</v>
      </c>
      <c r="J23" s="9">
        <v>0</v>
      </c>
      <c r="K23" s="9">
        <v>0</v>
      </c>
      <c r="L23" s="9">
        <v>2</v>
      </c>
      <c r="M23" s="9">
        <v>0</v>
      </c>
      <c r="N23" s="10">
        <f t="shared" si="0"/>
        <v>15</v>
      </c>
      <c r="O23" s="11">
        <v>144088</v>
      </c>
      <c r="P23" s="12">
        <f t="shared" si="1"/>
        <v>10.410304813724947</v>
      </c>
    </row>
    <row r="24" spans="1:16" ht="14.25" customHeight="1">
      <c r="A24" s="11">
        <v>350450</v>
      </c>
      <c r="B24" s="11" t="s">
        <v>27</v>
      </c>
      <c r="C24" s="8">
        <v>2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1</v>
      </c>
      <c r="N24" s="10">
        <f t="shared" si="0"/>
        <v>3</v>
      </c>
      <c r="O24" s="11">
        <v>91232</v>
      </c>
      <c r="P24" s="12">
        <f t="shared" si="1"/>
        <v>3.2883198877586812</v>
      </c>
    </row>
    <row r="25" spans="1:16" ht="14.25" customHeight="1">
      <c r="A25" s="11">
        <v>350530</v>
      </c>
      <c r="B25" s="11" t="s">
        <v>28</v>
      </c>
      <c r="C25" s="8">
        <v>0</v>
      </c>
      <c r="D25" s="9">
        <v>0</v>
      </c>
      <c r="E25" s="9">
        <v>0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10">
        <f t="shared" si="0"/>
        <v>1</v>
      </c>
      <c r="O25" s="11">
        <v>36126</v>
      </c>
      <c r="P25" s="12">
        <f t="shared" si="1"/>
        <v>2.7680894646514975</v>
      </c>
    </row>
    <row r="26" spans="1:16" ht="14.25" customHeight="1">
      <c r="A26" s="11">
        <v>350550</v>
      </c>
      <c r="B26" s="11" t="s">
        <v>29</v>
      </c>
      <c r="C26" s="8">
        <v>4</v>
      </c>
      <c r="D26" s="9">
        <v>0</v>
      </c>
      <c r="E26" s="9">
        <v>2</v>
      </c>
      <c r="F26" s="9">
        <v>2</v>
      </c>
      <c r="G26" s="9">
        <v>3</v>
      </c>
      <c r="H26" s="9">
        <v>0</v>
      </c>
      <c r="I26" s="9">
        <v>0</v>
      </c>
      <c r="J26" s="9">
        <v>1</v>
      </c>
      <c r="K26" s="9">
        <v>1</v>
      </c>
      <c r="L26" s="9">
        <v>15</v>
      </c>
      <c r="M26" s="9">
        <v>3</v>
      </c>
      <c r="N26" s="10">
        <f t="shared" si="0"/>
        <v>31</v>
      </c>
      <c r="O26" s="11">
        <v>122833</v>
      </c>
      <c r="P26" s="12">
        <f t="shared" si="1"/>
        <v>25.237517605203813</v>
      </c>
    </row>
    <row r="27" spans="1:16" ht="14.25" customHeight="1">
      <c r="A27" s="11">
        <v>350570</v>
      </c>
      <c r="B27" s="11" t="s">
        <v>30</v>
      </c>
      <c r="C27" s="8">
        <v>4</v>
      </c>
      <c r="D27" s="9">
        <v>6</v>
      </c>
      <c r="E27" s="9">
        <v>2</v>
      </c>
      <c r="F27" s="9">
        <v>11</v>
      </c>
      <c r="G27" s="9">
        <v>2</v>
      </c>
      <c r="H27" s="9">
        <v>0</v>
      </c>
      <c r="I27" s="9">
        <v>0</v>
      </c>
      <c r="J27" s="9">
        <v>0</v>
      </c>
      <c r="K27" s="9">
        <v>0</v>
      </c>
      <c r="L27" s="9">
        <v>27</v>
      </c>
      <c r="M27" s="9">
        <v>2</v>
      </c>
      <c r="N27" s="10">
        <f t="shared" si="0"/>
        <v>54</v>
      </c>
      <c r="O27" s="11">
        <v>276982</v>
      </c>
      <c r="P27" s="12">
        <f t="shared" si="1"/>
        <v>19.495851715995986</v>
      </c>
    </row>
    <row r="28" spans="1:16" ht="14.25" customHeight="1">
      <c r="A28" s="11">
        <v>350590</v>
      </c>
      <c r="B28" s="11" t="s">
        <v>31</v>
      </c>
      <c r="C28" s="8">
        <v>0</v>
      </c>
      <c r="D28" s="9">
        <v>0</v>
      </c>
      <c r="E28" s="9">
        <v>0</v>
      </c>
      <c r="F28" s="9">
        <v>1</v>
      </c>
      <c r="G28" s="9">
        <v>5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10">
        <f t="shared" si="0"/>
        <v>6</v>
      </c>
      <c r="O28" s="11">
        <v>62980</v>
      </c>
      <c r="P28" s="12">
        <f t="shared" si="1"/>
        <v>9.5268339155287389</v>
      </c>
    </row>
    <row r="29" spans="1:16" ht="14.25" customHeight="1">
      <c r="A29" s="11">
        <v>350600</v>
      </c>
      <c r="B29" s="11" t="s">
        <v>32</v>
      </c>
      <c r="C29" s="8">
        <v>7</v>
      </c>
      <c r="D29" s="9">
        <v>0</v>
      </c>
      <c r="E29" s="9">
        <v>2</v>
      </c>
      <c r="F29" s="9">
        <v>10</v>
      </c>
      <c r="G29" s="9">
        <v>1</v>
      </c>
      <c r="H29" s="9">
        <v>0</v>
      </c>
      <c r="I29" s="9">
        <v>0</v>
      </c>
      <c r="J29" s="9">
        <v>0</v>
      </c>
      <c r="K29" s="9">
        <v>0</v>
      </c>
      <c r="L29" s="9">
        <v>13</v>
      </c>
      <c r="M29" s="9">
        <v>5</v>
      </c>
      <c r="N29" s="10">
        <f t="shared" si="0"/>
        <v>38</v>
      </c>
      <c r="O29" s="11">
        <v>379297</v>
      </c>
      <c r="P29" s="12">
        <f t="shared" si="1"/>
        <v>10.018534288433603</v>
      </c>
    </row>
    <row r="30" spans="1:16" ht="14.25" customHeight="1">
      <c r="A30" s="11">
        <v>350610</v>
      </c>
      <c r="B30" s="11" t="s">
        <v>33</v>
      </c>
      <c r="C30" s="8">
        <v>3</v>
      </c>
      <c r="D30" s="9">
        <v>0</v>
      </c>
      <c r="E30" s="9">
        <v>2</v>
      </c>
      <c r="F30" s="9">
        <v>1</v>
      </c>
      <c r="G30" s="9">
        <v>0</v>
      </c>
      <c r="H30" s="9">
        <v>0</v>
      </c>
      <c r="I30" s="9">
        <v>0</v>
      </c>
      <c r="J30" s="9">
        <v>1</v>
      </c>
      <c r="K30" s="9">
        <v>0</v>
      </c>
      <c r="L30" s="9">
        <v>1</v>
      </c>
      <c r="M30" s="9">
        <v>0</v>
      </c>
      <c r="N30" s="10">
        <f t="shared" si="0"/>
        <v>8</v>
      </c>
      <c r="O30" s="11">
        <v>77555</v>
      </c>
      <c r="P30" s="12">
        <f t="shared" si="1"/>
        <v>10.315260137966604</v>
      </c>
    </row>
    <row r="31" spans="1:16" ht="14.25" customHeight="1">
      <c r="A31" s="11">
        <v>350635</v>
      </c>
      <c r="B31" s="11" t="s">
        <v>34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10">
        <f t="shared" si="0"/>
        <v>0</v>
      </c>
      <c r="O31" s="11">
        <v>64723</v>
      </c>
      <c r="P31" s="12">
        <f t="shared" si="1"/>
        <v>0</v>
      </c>
    </row>
    <row r="32" spans="1:16" ht="14.25" customHeight="1">
      <c r="A32" s="11">
        <v>350640</v>
      </c>
      <c r="B32" s="11" t="s">
        <v>35</v>
      </c>
      <c r="C32" s="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</v>
      </c>
      <c r="K32" s="9">
        <v>0</v>
      </c>
      <c r="L32" s="9">
        <v>0</v>
      </c>
      <c r="M32" s="9">
        <v>0</v>
      </c>
      <c r="N32" s="10">
        <f t="shared" si="0"/>
        <v>1</v>
      </c>
      <c r="O32" s="11">
        <v>8117</v>
      </c>
      <c r="P32" s="12">
        <f t="shared" si="1"/>
        <v>12.319822594554639</v>
      </c>
    </row>
    <row r="33" spans="1:16" ht="14.25" customHeight="1">
      <c r="A33" s="11">
        <v>350650</v>
      </c>
      <c r="B33" s="11" t="s">
        <v>36</v>
      </c>
      <c r="C33" s="8">
        <v>0</v>
      </c>
      <c r="D33" s="9">
        <v>0</v>
      </c>
      <c r="E33" s="9">
        <v>0</v>
      </c>
      <c r="F33" s="9">
        <v>0</v>
      </c>
      <c r="G33" s="9">
        <v>1</v>
      </c>
      <c r="H33" s="9">
        <v>0</v>
      </c>
      <c r="I33" s="9">
        <v>0</v>
      </c>
      <c r="J33" s="9">
        <v>0</v>
      </c>
      <c r="K33" s="9">
        <v>0</v>
      </c>
      <c r="L33" s="9">
        <v>2</v>
      </c>
      <c r="M33" s="9">
        <v>2</v>
      </c>
      <c r="N33" s="10">
        <f t="shared" si="0"/>
        <v>5</v>
      </c>
      <c r="O33" s="11">
        <v>124883</v>
      </c>
      <c r="P33" s="12">
        <f t="shared" si="1"/>
        <v>4.0037475076671765</v>
      </c>
    </row>
    <row r="34" spans="1:16" ht="14.25" customHeight="1">
      <c r="A34" s="11">
        <v>350680</v>
      </c>
      <c r="B34" s="11" t="s">
        <v>37</v>
      </c>
      <c r="C34" s="8">
        <v>1</v>
      </c>
      <c r="D34" s="9">
        <v>1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10">
        <f t="shared" si="0"/>
        <v>2</v>
      </c>
      <c r="O34" s="11">
        <v>12452</v>
      </c>
      <c r="P34" s="12">
        <f t="shared" si="1"/>
        <v>16.061676839061999</v>
      </c>
    </row>
    <row r="35" spans="1:16" ht="14.25" customHeight="1">
      <c r="A35" s="11">
        <v>350700</v>
      </c>
      <c r="B35" s="11" t="s">
        <v>38</v>
      </c>
      <c r="C35" s="8">
        <v>0</v>
      </c>
      <c r="D35" s="9">
        <v>0</v>
      </c>
      <c r="E35" s="9">
        <v>0</v>
      </c>
      <c r="F35" s="9">
        <v>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10">
        <f t="shared" si="0"/>
        <v>1</v>
      </c>
      <c r="O35" s="11">
        <v>62170</v>
      </c>
      <c r="P35" s="12">
        <f t="shared" si="1"/>
        <v>1.6084928422068521</v>
      </c>
    </row>
    <row r="36" spans="1:16" ht="14.25" customHeight="1">
      <c r="A36" s="11">
        <v>350740</v>
      </c>
      <c r="B36" s="11" t="s">
        <v>39</v>
      </c>
      <c r="C36" s="8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1</v>
      </c>
      <c r="M36" s="9">
        <v>0</v>
      </c>
      <c r="N36" s="10">
        <f t="shared" si="0"/>
        <v>1</v>
      </c>
      <c r="O36" s="11">
        <v>16164</v>
      </c>
      <c r="P36" s="12">
        <f t="shared" si="1"/>
        <v>6.1865874783469437</v>
      </c>
    </row>
    <row r="37" spans="1:16" ht="14.25" customHeight="1">
      <c r="A37" s="11">
        <v>350750</v>
      </c>
      <c r="B37" s="11" t="s">
        <v>40</v>
      </c>
      <c r="C37" s="8">
        <v>12</v>
      </c>
      <c r="D37" s="9">
        <v>7</v>
      </c>
      <c r="E37" s="9">
        <v>11</v>
      </c>
      <c r="F37" s="9">
        <v>7</v>
      </c>
      <c r="G37" s="9">
        <v>3</v>
      </c>
      <c r="H37" s="9">
        <v>0</v>
      </c>
      <c r="I37" s="9">
        <v>2</v>
      </c>
      <c r="J37" s="9">
        <v>6</v>
      </c>
      <c r="K37" s="9">
        <v>9</v>
      </c>
      <c r="L37" s="9">
        <v>17</v>
      </c>
      <c r="M37" s="9">
        <v>43</v>
      </c>
      <c r="N37" s="10">
        <f t="shared" si="0"/>
        <v>117</v>
      </c>
      <c r="O37" s="11">
        <v>148130</v>
      </c>
      <c r="P37" s="12">
        <f t="shared" si="1"/>
        <v>78.984675622763788</v>
      </c>
    </row>
    <row r="38" spans="1:16" ht="14.25" customHeight="1">
      <c r="A38" s="11">
        <v>350760</v>
      </c>
      <c r="B38" s="11" t="s">
        <v>41</v>
      </c>
      <c r="C38" s="8">
        <v>1</v>
      </c>
      <c r="D38" s="9">
        <v>1</v>
      </c>
      <c r="E38" s="9">
        <v>0</v>
      </c>
      <c r="F38" s="9">
        <v>2</v>
      </c>
      <c r="G38" s="9">
        <v>0</v>
      </c>
      <c r="H38" s="9">
        <v>1</v>
      </c>
      <c r="I38" s="9">
        <v>0</v>
      </c>
      <c r="J38" s="9">
        <v>0</v>
      </c>
      <c r="K38" s="9">
        <v>0</v>
      </c>
      <c r="L38" s="9">
        <v>7</v>
      </c>
      <c r="M38" s="9">
        <v>3</v>
      </c>
      <c r="N38" s="10">
        <f t="shared" si="0"/>
        <v>15</v>
      </c>
      <c r="O38" s="11">
        <v>170533</v>
      </c>
      <c r="P38" s="12">
        <f t="shared" si="1"/>
        <v>8.79595151671524</v>
      </c>
    </row>
    <row r="39" spans="1:16" ht="14.25" customHeight="1">
      <c r="A39" s="11">
        <v>350840</v>
      </c>
      <c r="B39" s="11" t="s">
        <v>42</v>
      </c>
      <c r="C39" s="8">
        <v>0</v>
      </c>
      <c r="D39" s="9">
        <v>0</v>
      </c>
      <c r="E39" s="9">
        <v>0</v>
      </c>
      <c r="F39" s="9">
        <v>1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10">
        <f t="shared" si="0"/>
        <v>1</v>
      </c>
      <c r="O39" s="11">
        <v>50429</v>
      </c>
      <c r="P39" s="12">
        <f t="shared" si="1"/>
        <v>1.9829859802891192</v>
      </c>
    </row>
    <row r="40" spans="1:16" ht="14.25" customHeight="1">
      <c r="A40" s="11">
        <v>350850</v>
      </c>
      <c r="B40" s="11" t="s">
        <v>43</v>
      </c>
      <c r="C40" s="8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1</v>
      </c>
      <c r="M40" s="9">
        <v>0</v>
      </c>
      <c r="N40" s="10">
        <f t="shared" si="0"/>
        <v>1</v>
      </c>
      <c r="O40" s="11">
        <v>95018</v>
      </c>
      <c r="P40" s="12">
        <f t="shared" si="1"/>
        <v>1.0524321707465953</v>
      </c>
    </row>
    <row r="41" spans="1:16" ht="14.25" customHeight="1">
      <c r="A41" s="11">
        <v>350860</v>
      </c>
      <c r="B41" s="11" t="s">
        <v>44</v>
      </c>
      <c r="C41" s="8">
        <v>2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10">
        <f t="shared" si="0"/>
        <v>2</v>
      </c>
      <c r="O41" s="11">
        <v>33581</v>
      </c>
      <c r="P41" s="12">
        <f t="shared" si="1"/>
        <v>5.9557487865161853</v>
      </c>
    </row>
    <row r="42" spans="1:16" ht="14.25" customHeight="1">
      <c r="A42" s="11">
        <v>350900</v>
      </c>
      <c r="B42" s="11" t="s">
        <v>45</v>
      </c>
      <c r="C42" s="8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1</v>
      </c>
      <c r="M42" s="9">
        <v>0</v>
      </c>
      <c r="N42" s="10">
        <f t="shared" si="0"/>
        <v>1</v>
      </c>
      <c r="O42" s="11">
        <v>102775</v>
      </c>
      <c r="P42" s="12">
        <f t="shared" si="1"/>
        <v>0.97299927025054733</v>
      </c>
    </row>
    <row r="43" spans="1:16" ht="14.25" customHeight="1">
      <c r="A43" s="11">
        <v>350940</v>
      </c>
      <c r="B43" s="11" t="s">
        <v>46</v>
      </c>
      <c r="C43" s="8">
        <v>2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10">
        <f t="shared" si="0"/>
        <v>2</v>
      </c>
      <c r="O43" s="11">
        <v>26393</v>
      </c>
      <c r="P43" s="12">
        <f t="shared" si="1"/>
        <v>7.5777668321145759</v>
      </c>
    </row>
    <row r="44" spans="1:16" ht="14.25" customHeight="1">
      <c r="A44" s="11">
        <v>350945</v>
      </c>
      <c r="B44" s="11" t="s">
        <v>47</v>
      </c>
      <c r="C44" s="8">
        <v>0</v>
      </c>
      <c r="D44" s="9">
        <v>0</v>
      </c>
      <c r="E44" s="9">
        <v>0</v>
      </c>
      <c r="F44" s="9">
        <v>0</v>
      </c>
      <c r="G44" s="9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10">
        <f t="shared" si="0"/>
        <v>1</v>
      </c>
      <c r="O44" s="11">
        <v>6057</v>
      </c>
      <c r="P44" s="12">
        <f t="shared" si="1"/>
        <v>16.509823344890211</v>
      </c>
    </row>
    <row r="45" spans="1:16" ht="14.25" customHeight="1">
      <c r="A45" s="11">
        <v>350950</v>
      </c>
      <c r="B45" s="11" t="s">
        <v>48</v>
      </c>
      <c r="C45" s="8">
        <v>26</v>
      </c>
      <c r="D45" s="9">
        <v>39</v>
      </c>
      <c r="E45" s="9">
        <v>52</v>
      </c>
      <c r="F45" s="9">
        <v>50</v>
      </c>
      <c r="G45" s="9">
        <v>18</v>
      </c>
      <c r="H45" s="9">
        <v>3</v>
      </c>
      <c r="I45" s="9">
        <v>2</v>
      </c>
      <c r="J45" s="9">
        <v>1</v>
      </c>
      <c r="K45" s="9">
        <v>3</v>
      </c>
      <c r="L45" s="9">
        <v>137</v>
      </c>
      <c r="M45" s="9">
        <v>32</v>
      </c>
      <c r="N45" s="10">
        <f t="shared" si="0"/>
        <v>363</v>
      </c>
      <c r="O45" s="11">
        <v>1213792</v>
      </c>
      <c r="P45" s="12">
        <f t="shared" si="1"/>
        <v>29.906277187524715</v>
      </c>
    </row>
    <row r="46" spans="1:16" ht="14.25" customHeight="1">
      <c r="A46" s="11">
        <v>350970</v>
      </c>
      <c r="B46" s="11" t="s">
        <v>49</v>
      </c>
      <c r="C46" s="8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</v>
      </c>
      <c r="M46" s="9">
        <v>0</v>
      </c>
      <c r="N46" s="10">
        <f t="shared" si="0"/>
        <v>1</v>
      </c>
      <c r="O46" s="11">
        <v>52405</v>
      </c>
      <c r="P46" s="12">
        <f t="shared" si="1"/>
        <v>1.9082148649937982</v>
      </c>
    </row>
    <row r="47" spans="1:16" ht="14.25" customHeight="1">
      <c r="A47" s="11">
        <v>351000</v>
      </c>
      <c r="B47" s="11" t="s">
        <v>50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10">
        <f t="shared" si="0"/>
        <v>1</v>
      </c>
      <c r="O47" s="11">
        <v>31346</v>
      </c>
      <c r="P47" s="12">
        <f t="shared" si="1"/>
        <v>3.1901997065016268</v>
      </c>
    </row>
    <row r="48" spans="1:16" ht="14.25" customHeight="1">
      <c r="A48" s="11">
        <v>351030</v>
      </c>
      <c r="B48" s="11" t="s">
        <v>51</v>
      </c>
      <c r="C48" s="8">
        <v>0</v>
      </c>
      <c r="D48" s="9">
        <v>0</v>
      </c>
      <c r="E48" s="9">
        <v>0</v>
      </c>
      <c r="F48" s="9">
        <v>1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10">
        <f t="shared" si="0"/>
        <v>1</v>
      </c>
      <c r="O48" s="11">
        <v>20985</v>
      </c>
      <c r="P48" s="12">
        <f t="shared" si="1"/>
        <v>4.765308553728854</v>
      </c>
    </row>
    <row r="49" spans="1:16" ht="14.25" customHeight="1">
      <c r="A49" s="11">
        <v>351040</v>
      </c>
      <c r="B49" s="11" t="s">
        <v>52</v>
      </c>
      <c r="C49" s="8">
        <v>0</v>
      </c>
      <c r="D49" s="9">
        <v>0</v>
      </c>
      <c r="E49" s="9">
        <v>0</v>
      </c>
      <c r="F49" s="9">
        <v>3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</v>
      </c>
      <c r="N49" s="10">
        <f t="shared" si="0"/>
        <v>4</v>
      </c>
      <c r="O49" s="11">
        <v>56379</v>
      </c>
      <c r="P49" s="12">
        <f t="shared" si="1"/>
        <v>7.0948402774082542</v>
      </c>
    </row>
    <row r="50" spans="1:16" ht="14.25" customHeight="1">
      <c r="A50" s="11">
        <v>351050</v>
      </c>
      <c r="B50" s="11" t="s">
        <v>53</v>
      </c>
      <c r="C50" s="8">
        <v>0</v>
      </c>
      <c r="D50" s="9">
        <v>2</v>
      </c>
      <c r="E50" s="9">
        <v>1</v>
      </c>
      <c r="F50" s="9">
        <v>3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</v>
      </c>
      <c r="M50" s="9">
        <v>0</v>
      </c>
      <c r="N50" s="10">
        <f t="shared" si="0"/>
        <v>7</v>
      </c>
      <c r="O50" s="11">
        <v>123389</v>
      </c>
      <c r="P50" s="12">
        <f t="shared" si="1"/>
        <v>5.6731151075055317</v>
      </c>
    </row>
    <row r="51" spans="1:16" ht="14.25" customHeight="1">
      <c r="A51" s="11">
        <v>351060</v>
      </c>
      <c r="B51" s="11" t="s">
        <v>54</v>
      </c>
      <c r="C51" s="8">
        <v>1</v>
      </c>
      <c r="D51" s="9">
        <v>3</v>
      </c>
      <c r="E51" s="9">
        <v>0</v>
      </c>
      <c r="F51" s="9">
        <v>2</v>
      </c>
      <c r="G51" s="9">
        <v>0</v>
      </c>
      <c r="H51" s="9">
        <v>1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10">
        <f t="shared" si="0"/>
        <v>7</v>
      </c>
      <c r="O51" s="11">
        <v>403183</v>
      </c>
      <c r="P51" s="12">
        <f t="shared" si="1"/>
        <v>1.736184313326703</v>
      </c>
    </row>
    <row r="52" spans="1:16" ht="14.25" customHeight="1">
      <c r="A52" s="11">
        <v>351110</v>
      </c>
      <c r="B52" s="11" t="s">
        <v>55</v>
      </c>
      <c r="C52" s="8">
        <v>1</v>
      </c>
      <c r="D52" s="9">
        <v>1</v>
      </c>
      <c r="E52" s="9">
        <v>1</v>
      </c>
      <c r="F52" s="9">
        <v>1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</v>
      </c>
      <c r="M52" s="9">
        <v>0</v>
      </c>
      <c r="N52" s="10">
        <f t="shared" si="0"/>
        <v>7</v>
      </c>
      <c r="O52" s="11">
        <v>122497</v>
      </c>
      <c r="P52" s="12">
        <f t="shared" si="1"/>
        <v>5.7144256594039042</v>
      </c>
    </row>
    <row r="53" spans="1:16" ht="14.25" customHeight="1">
      <c r="A53" s="11">
        <v>351150</v>
      </c>
      <c r="B53" s="11" t="s">
        <v>56</v>
      </c>
      <c r="C53" s="8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10">
        <f t="shared" si="0"/>
        <v>2</v>
      </c>
      <c r="O53" s="11">
        <v>49802</v>
      </c>
      <c r="P53" s="12">
        <f t="shared" si="1"/>
        <v>4.0159029757841047</v>
      </c>
    </row>
    <row r="54" spans="1:16" ht="14.25" customHeight="1">
      <c r="A54" s="11">
        <v>351220</v>
      </c>
      <c r="B54" s="11" t="s">
        <v>57</v>
      </c>
      <c r="C54" s="8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</v>
      </c>
      <c r="M54" s="9">
        <v>0</v>
      </c>
      <c r="N54" s="10">
        <f t="shared" si="0"/>
        <v>1</v>
      </c>
      <c r="O54" s="11">
        <v>28273</v>
      </c>
      <c r="P54" s="12">
        <f t="shared" si="1"/>
        <v>3.5369433735365896</v>
      </c>
    </row>
    <row r="55" spans="1:16" ht="14.25" customHeight="1">
      <c r="A55" s="11">
        <v>351240</v>
      </c>
      <c r="B55" s="11" t="s">
        <v>58</v>
      </c>
      <c r="C55" s="8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6</v>
      </c>
      <c r="M55" s="9">
        <v>0</v>
      </c>
      <c r="N55" s="10">
        <f t="shared" si="0"/>
        <v>6</v>
      </c>
      <c r="O55" s="11">
        <v>24826</v>
      </c>
      <c r="P55" s="12">
        <f t="shared" si="1"/>
        <v>24.168210746797712</v>
      </c>
    </row>
    <row r="56" spans="1:16" ht="14.25" customHeight="1">
      <c r="A56" s="11">
        <v>351280</v>
      </c>
      <c r="B56" s="11" t="s">
        <v>59</v>
      </c>
      <c r="C56" s="8">
        <v>1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10">
        <f t="shared" si="0"/>
        <v>1</v>
      </c>
      <c r="O56" s="11">
        <v>73474</v>
      </c>
      <c r="P56" s="12">
        <f t="shared" si="1"/>
        <v>1.3610256689441163</v>
      </c>
    </row>
    <row r="57" spans="1:16" ht="14.25" customHeight="1">
      <c r="A57" s="11">
        <v>351300</v>
      </c>
      <c r="B57" s="11" t="s">
        <v>60</v>
      </c>
      <c r="C57" s="8">
        <v>4</v>
      </c>
      <c r="D57" s="9">
        <v>0</v>
      </c>
      <c r="E57" s="9">
        <v>0</v>
      </c>
      <c r="F57" s="9">
        <v>1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10">
        <f t="shared" si="0"/>
        <v>5</v>
      </c>
      <c r="O57" s="11">
        <v>253608</v>
      </c>
      <c r="P57" s="12">
        <f t="shared" si="1"/>
        <v>1.97154663890729</v>
      </c>
    </row>
    <row r="58" spans="1:16" ht="14.25" customHeight="1">
      <c r="A58" s="11">
        <v>351310</v>
      </c>
      <c r="B58" s="11" t="s">
        <v>61</v>
      </c>
      <c r="C58" s="8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1</v>
      </c>
      <c r="M58" s="9">
        <v>0</v>
      </c>
      <c r="N58" s="10">
        <f t="shared" si="0"/>
        <v>1</v>
      </c>
      <c r="O58" s="11">
        <v>35579</v>
      </c>
      <c r="P58" s="12">
        <f t="shared" si="1"/>
        <v>2.8106467298125302</v>
      </c>
    </row>
    <row r="59" spans="1:16" ht="14.25" customHeight="1">
      <c r="A59" s="11">
        <v>351340</v>
      </c>
      <c r="B59" s="11" t="s">
        <v>62</v>
      </c>
      <c r="C59" s="8">
        <v>2</v>
      </c>
      <c r="D59" s="9">
        <v>0</v>
      </c>
      <c r="E59" s="9">
        <v>0</v>
      </c>
      <c r="F59" s="9">
        <v>2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10">
        <f t="shared" si="0"/>
        <v>5</v>
      </c>
      <c r="O59" s="11">
        <v>82571</v>
      </c>
      <c r="P59" s="12">
        <f t="shared" si="1"/>
        <v>6.0553947511838295</v>
      </c>
    </row>
    <row r="60" spans="1:16" ht="14.25" customHeight="1">
      <c r="A60" s="11">
        <v>351350</v>
      </c>
      <c r="B60" s="11" t="s">
        <v>63</v>
      </c>
      <c r="C60" s="8">
        <v>1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10">
        <f t="shared" si="0"/>
        <v>1</v>
      </c>
      <c r="O60" s="11">
        <v>131626</v>
      </c>
      <c r="P60" s="12">
        <f t="shared" si="1"/>
        <v>0.75972832115235589</v>
      </c>
    </row>
    <row r="61" spans="1:16" ht="14.25" customHeight="1">
      <c r="A61" s="11">
        <v>351370</v>
      </c>
      <c r="B61" s="11" t="s">
        <v>64</v>
      </c>
      <c r="C61" s="8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5</v>
      </c>
      <c r="M61" s="9">
        <v>0</v>
      </c>
      <c r="N61" s="10">
        <f t="shared" si="0"/>
        <v>5</v>
      </c>
      <c r="O61" s="11">
        <v>33910</v>
      </c>
      <c r="P61" s="12">
        <f t="shared" si="1"/>
        <v>14.74491300501327</v>
      </c>
    </row>
    <row r="62" spans="1:16" ht="14.25" customHeight="1">
      <c r="A62" s="11">
        <v>351380</v>
      </c>
      <c r="B62" s="11" t="s">
        <v>65</v>
      </c>
      <c r="C62" s="8">
        <v>1</v>
      </c>
      <c r="D62" s="9">
        <v>2</v>
      </c>
      <c r="E62" s="9">
        <v>1</v>
      </c>
      <c r="F62" s="9">
        <v>1</v>
      </c>
      <c r="G62" s="9">
        <v>2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10">
        <f t="shared" si="0"/>
        <v>7</v>
      </c>
      <c r="O62" s="11">
        <v>426757</v>
      </c>
      <c r="P62" s="12">
        <f t="shared" si="1"/>
        <v>1.6402777224509499</v>
      </c>
    </row>
    <row r="63" spans="1:16" ht="14.25" customHeight="1">
      <c r="A63" s="11">
        <v>351440</v>
      </c>
      <c r="B63" s="11" t="s">
        <v>66</v>
      </c>
      <c r="C63" s="8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3</v>
      </c>
      <c r="M63" s="9">
        <v>0</v>
      </c>
      <c r="N63" s="10">
        <f t="shared" si="0"/>
        <v>3</v>
      </c>
      <c r="O63" s="11">
        <v>47043</v>
      </c>
      <c r="P63" s="12">
        <f t="shared" si="1"/>
        <v>6.3771443147758431</v>
      </c>
    </row>
    <row r="64" spans="1:16" ht="14.25" customHeight="1">
      <c r="A64" s="11">
        <v>351460</v>
      </c>
      <c r="B64" s="11" t="s">
        <v>67</v>
      </c>
      <c r="C64" s="8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1</v>
      </c>
      <c r="M64" s="9">
        <v>0</v>
      </c>
      <c r="N64" s="10">
        <f t="shared" si="0"/>
        <v>1</v>
      </c>
      <c r="O64" s="11">
        <v>10023</v>
      </c>
      <c r="P64" s="12">
        <f t="shared" si="1"/>
        <v>9.9770527786091989</v>
      </c>
    </row>
    <row r="65" spans="1:16" ht="14.25" customHeight="1">
      <c r="A65" s="11">
        <v>351470</v>
      </c>
      <c r="B65" s="11" t="s">
        <v>68</v>
      </c>
      <c r="C65" s="8">
        <v>0</v>
      </c>
      <c r="D65" s="9">
        <v>0</v>
      </c>
      <c r="E65" s="9">
        <v>0</v>
      </c>
      <c r="F65" s="9">
        <v>0</v>
      </c>
      <c r="G65" s="9">
        <v>0</v>
      </c>
      <c r="H65" s="9">
        <v>1</v>
      </c>
      <c r="I65" s="9">
        <v>0</v>
      </c>
      <c r="J65" s="9">
        <v>0</v>
      </c>
      <c r="K65" s="9">
        <v>0</v>
      </c>
      <c r="L65" s="9">
        <v>4</v>
      </c>
      <c r="M65" s="9">
        <v>0</v>
      </c>
      <c r="N65" s="10">
        <f t="shared" si="0"/>
        <v>5</v>
      </c>
      <c r="O65" s="11">
        <v>6064</v>
      </c>
      <c r="P65" s="12">
        <f t="shared" si="1"/>
        <v>82.453825857519789</v>
      </c>
    </row>
    <row r="66" spans="1:16" ht="14.25" customHeight="1">
      <c r="A66" s="11">
        <v>351500</v>
      </c>
      <c r="B66" s="11" t="s">
        <v>69</v>
      </c>
      <c r="C66" s="8">
        <v>2</v>
      </c>
      <c r="D66" s="9">
        <v>0</v>
      </c>
      <c r="E66" s="9">
        <v>0</v>
      </c>
      <c r="F66" s="9">
        <v>1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1</v>
      </c>
      <c r="M66" s="9">
        <v>0</v>
      </c>
      <c r="N66" s="10">
        <f t="shared" si="0"/>
        <v>4</v>
      </c>
      <c r="O66" s="11">
        <v>276535</v>
      </c>
      <c r="P66" s="12">
        <f t="shared" si="1"/>
        <v>1.44647151355163</v>
      </c>
    </row>
    <row r="67" spans="1:16" ht="14.25" customHeight="1">
      <c r="A67" s="11">
        <v>351518</v>
      </c>
      <c r="B67" s="11" t="s">
        <v>70</v>
      </c>
      <c r="C67" s="8">
        <v>0</v>
      </c>
      <c r="D67" s="9">
        <v>0</v>
      </c>
      <c r="E67" s="9">
        <v>0</v>
      </c>
      <c r="F67" s="9">
        <v>0</v>
      </c>
      <c r="G67" s="9">
        <v>1</v>
      </c>
      <c r="H67" s="9">
        <v>0</v>
      </c>
      <c r="I67" s="9">
        <v>0</v>
      </c>
      <c r="J67" s="9">
        <v>0</v>
      </c>
      <c r="K67" s="9">
        <v>0</v>
      </c>
      <c r="L67" s="9">
        <v>1</v>
      </c>
      <c r="M67" s="9">
        <v>0</v>
      </c>
      <c r="N67" s="10">
        <f t="shared" si="0"/>
        <v>2</v>
      </c>
      <c r="O67" s="11">
        <v>44471</v>
      </c>
      <c r="P67" s="12">
        <f t="shared" si="1"/>
        <v>4.497312855568798</v>
      </c>
    </row>
    <row r="68" spans="1:16" ht="14.25" customHeight="1">
      <c r="A68" s="11">
        <v>351540</v>
      </c>
      <c r="B68" s="11" t="s">
        <v>71</v>
      </c>
      <c r="C68" s="8">
        <v>3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10">
        <f t="shared" si="0"/>
        <v>3</v>
      </c>
      <c r="O68" s="11">
        <v>16070</v>
      </c>
      <c r="P68" s="12">
        <f t="shared" si="1"/>
        <v>18.668326073428751</v>
      </c>
    </row>
    <row r="69" spans="1:16" ht="14.25" customHeight="1">
      <c r="A69" s="11">
        <v>351550</v>
      </c>
      <c r="B69" s="11" t="s">
        <v>72</v>
      </c>
      <c r="C69" s="8">
        <v>2</v>
      </c>
      <c r="D69" s="9">
        <v>0</v>
      </c>
      <c r="E69" s="9">
        <v>1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3</v>
      </c>
      <c r="M69" s="9">
        <v>0</v>
      </c>
      <c r="N69" s="10">
        <f t="shared" si="0"/>
        <v>6</v>
      </c>
      <c r="O69" s="11">
        <v>69402</v>
      </c>
      <c r="P69" s="12">
        <f t="shared" si="1"/>
        <v>8.6452839975793196</v>
      </c>
    </row>
    <row r="70" spans="1:16" ht="14.25" customHeight="1">
      <c r="A70" s="11">
        <v>351570</v>
      </c>
      <c r="B70" s="11" t="s">
        <v>73</v>
      </c>
      <c r="C70" s="8">
        <v>0</v>
      </c>
      <c r="D70" s="9">
        <v>1</v>
      </c>
      <c r="E70" s="9">
        <v>1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10">
        <f t="shared" si="0"/>
        <v>2</v>
      </c>
      <c r="O70" s="11">
        <v>196500</v>
      </c>
      <c r="P70" s="12">
        <f t="shared" si="1"/>
        <v>1.0178117048346056</v>
      </c>
    </row>
    <row r="71" spans="1:16" ht="14.25" customHeight="1">
      <c r="A71" s="11">
        <v>351620</v>
      </c>
      <c r="B71" s="11" t="s">
        <v>74</v>
      </c>
      <c r="C71" s="8">
        <v>5</v>
      </c>
      <c r="D71" s="9">
        <v>1</v>
      </c>
      <c r="E71" s="9">
        <v>1</v>
      </c>
      <c r="F71" s="9">
        <v>2</v>
      </c>
      <c r="G71" s="9">
        <v>2</v>
      </c>
      <c r="H71" s="9">
        <v>0</v>
      </c>
      <c r="I71" s="9">
        <v>0</v>
      </c>
      <c r="J71" s="9">
        <v>0</v>
      </c>
      <c r="K71" s="9">
        <v>0</v>
      </c>
      <c r="L71" s="9">
        <v>5</v>
      </c>
      <c r="M71" s="9">
        <v>27</v>
      </c>
      <c r="N71" s="10">
        <f t="shared" si="0"/>
        <v>43</v>
      </c>
      <c r="O71" s="11">
        <v>355901</v>
      </c>
      <c r="P71" s="12">
        <f t="shared" si="1"/>
        <v>12.082011570633407</v>
      </c>
    </row>
    <row r="72" spans="1:16" ht="14.25" customHeight="1">
      <c r="A72" s="11">
        <v>351630</v>
      </c>
      <c r="B72" s="11" t="s">
        <v>75</v>
      </c>
      <c r="C72" s="8">
        <v>2</v>
      </c>
      <c r="D72" s="9">
        <v>1</v>
      </c>
      <c r="E72" s="9">
        <v>0</v>
      </c>
      <c r="F72" s="9">
        <v>1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10">
        <f t="shared" si="0"/>
        <v>4</v>
      </c>
      <c r="O72" s="11">
        <v>177633</v>
      </c>
      <c r="P72" s="12">
        <f t="shared" si="1"/>
        <v>2.2518338371811546</v>
      </c>
    </row>
    <row r="73" spans="1:16" ht="14.25" customHeight="1">
      <c r="A73" s="11">
        <v>351640</v>
      </c>
      <c r="B73" s="11" t="s">
        <v>76</v>
      </c>
      <c r="C73" s="8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</v>
      </c>
      <c r="M73" s="9">
        <v>0</v>
      </c>
      <c r="N73" s="10">
        <f t="shared" si="0"/>
        <v>1</v>
      </c>
      <c r="O73" s="11">
        <v>156492</v>
      </c>
      <c r="P73" s="12">
        <f t="shared" si="1"/>
        <v>0.63901030084604959</v>
      </c>
    </row>
    <row r="74" spans="1:16" ht="14.25" customHeight="1">
      <c r="A74" s="11">
        <v>351650</v>
      </c>
      <c r="B74" s="11" t="s">
        <v>77</v>
      </c>
      <c r="C74" s="8">
        <v>0</v>
      </c>
      <c r="D74" s="9">
        <v>0</v>
      </c>
      <c r="E74" s="9">
        <v>0</v>
      </c>
      <c r="F74" s="9">
        <v>1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10">
        <f t="shared" si="0"/>
        <v>1</v>
      </c>
      <c r="O74" s="11">
        <v>2776</v>
      </c>
      <c r="P74" s="12">
        <f t="shared" si="1"/>
        <v>36.023054755043226</v>
      </c>
    </row>
    <row r="75" spans="1:16" ht="14.25" customHeight="1">
      <c r="A75" s="11">
        <v>351660</v>
      </c>
      <c r="B75" s="11" t="s">
        <v>78</v>
      </c>
      <c r="C75" s="8">
        <v>0</v>
      </c>
      <c r="D75" s="9">
        <v>0</v>
      </c>
      <c r="E75" s="9">
        <v>4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10">
        <f t="shared" si="0"/>
        <v>4</v>
      </c>
      <c r="O75" s="11">
        <v>6482</v>
      </c>
      <c r="P75" s="12">
        <f t="shared" si="1"/>
        <v>61.709348966368403</v>
      </c>
    </row>
    <row r="76" spans="1:16" ht="14.25" customHeight="1">
      <c r="A76" s="11">
        <v>351670</v>
      </c>
      <c r="B76" s="11" t="s">
        <v>79</v>
      </c>
      <c r="C76" s="8">
        <v>0</v>
      </c>
      <c r="D76" s="9">
        <v>0</v>
      </c>
      <c r="E76" s="9">
        <v>0</v>
      </c>
      <c r="F76" s="9">
        <v>1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1</v>
      </c>
      <c r="M76" s="9">
        <v>0</v>
      </c>
      <c r="N76" s="10">
        <f t="shared" si="0"/>
        <v>2</v>
      </c>
      <c r="O76" s="11">
        <v>44409</v>
      </c>
      <c r="P76" s="12">
        <f t="shared" si="1"/>
        <v>4.5035916143124144</v>
      </c>
    </row>
    <row r="77" spans="1:16" ht="14.25" customHeight="1">
      <c r="A77" s="11">
        <v>351710</v>
      </c>
      <c r="B77" s="11" t="s">
        <v>80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</v>
      </c>
      <c r="N77" s="10">
        <f t="shared" si="0"/>
        <v>1</v>
      </c>
      <c r="O77" s="11">
        <v>4829</v>
      </c>
      <c r="P77" s="12">
        <f t="shared" si="1"/>
        <v>20.70822116380203</v>
      </c>
    </row>
    <row r="78" spans="1:16" ht="14.25" customHeight="1">
      <c r="A78" s="11">
        <v>351740</v>
      </c>
      <c r="B78" s="11" t="s">
        <v>81</v>
      </c>
      <c r="C78" s="8">
        <v>2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10">
        <f t="shared" si="0"/>
        <v>2</v>
      </c>
      <c r="O78" s="11">
        <v>41040</v>
      </c>
      <c r="P78" s="12">
        <f t="shared" si="1"/>
        <v>4.8732943469785575</v>
      </c>
    </row>
    <row r="79" spans="1:16" ht="14.25" customHeight="1">
      <c r="A79" s="11">
        <v>351820</v>
      </c>
      <c r="B79" s="11" t="s">
        <v>82</v>
      </c>
      <c r="C79" s="8">
        <v>0</v>
      </c>
      <c r="D79" s="9">
        <v>0</v>
      </c>
      <c r="E79" s="9">
        <v>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2</v>
      </c>
      <c r="N79" s="10">
        <f t="shared" si="0"/>
        <v>3</v>
      </c>
      <c r="O79" s="11">
        <v>33100</v>
      </c>
      <c r="P79" s="12">
        <f t="shared" si="1"/>
        <v>9.0634441087613293</v>
      </c>
    </row>
    <row r="80" spans="1:16" ht="14.25" customHeight="1">
      <c r="A80" s="11">
        <v>351830</v>
      </c>
      <c r="B80" s="11" t="s">
        <v>83</v>
      </c>
      <c r="C80" s="8">
        <v>0</v>
      </c>
      <c r="D80" s="9">
        <v>1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10">
        <f t="shared" si="0"/>
        <v>1</v>
      </c>
      <c r="O80" s="11">
        <v>30136</v>
      </c>
      <c r="P80" s="12">
        <f t="shared" si="1"/>
        <v>3.3182904167772764</v>
      </c>
    </row>
    <row r="81" spans="1:16" ht="14.25" customHeight="1">
      <c r="A81" s="11">
        <v>351840</v>
      </c>
      <c r="B81" s="11" t="s">
        <v>84</v>
      </c>
      <c r="C81" s="8">
        <v>1</v>
      </c>
      <c r="D81" s="9">
        <v>0</v>
      </c>
      <c r="E81" s="9">
        <v>0</v>
      </c>
      <c r="F81" s="9">
        <v>0</v>
      </c>
      <c r="G81" s="9">
        <v>1</v>
      </c>
      <c r="H81" s="9">
        <v>0</v>
      </c>
      <c r="I81" s="9">
        <v>0</v>
      </c>
      <c r="J81" s="9">
        <v>1</v>
      </c>
      <c r="K81" s="9">
        <v>0</v>
      </c>
      <c r="L81" s="9">
        <v>5</v>
      </c>
      <c r="M81" s="9">
        <v>0</v>
      </c>
      <c r="N81" s="10">
        <f t="shared" si="0"/>
        <v>8</v>
      </c>
      <c r="O81" s="11">
        <v>122505</v>
      </c>
      <c r="P81" s="12">
        <f t="shared" si="1"/>
        <v>6.5303457001755039</v>
      </c>
    </row>
    <row r="82" spans="1:16" ht="14.25" customHeight="1">
      <c r="A82" s="11">
        <v>351850</v>
      </c>
      <c r="B82" s="11" t="s">
        <v>85</v>
      </c>
      <c r="C82" s="8">
        <v>0</v>
      </c>
      <c r="D82" s="9">
        <v>1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10">
        <f t="shared" si="0"/>
        <v>1</v>
      </c>
      <c r="O82" s="11">
        <v>18887</v>
      </c>
      <c r="P82" s="12">
        <f t="shared" si="1"/>
        <v>5.2946471117700007</v>
      </c>
    </row>
    <row r="83" spans="1:16" ht="14.25" customHeight="1">
      <c r="A83" s="11">
        <v>351860</v>
      </c>
      <c r="B83" s="11" t="s">
        <v>86</v>
      </c>
      <c r="C83" s="8">
        <v>0</v>
      </c>
      <c r="D83" s="9">
        <v>0</v>
      </c>
      <c r="E83" s="9">
        <v>2</v>
      </c>
      <c r="F83" s="9">
        <v>5</v>
      </c>
      <c r="G83" s="9">
        <v>1</v>
      </c>
      <c r="H83" s="9">
        <v>0</v>
      </c>
      <c r="I83" s="9">
        <v>0</v>
      </c>
      <c r="J83" s="9">
        <v>1</v>
      </c>
      <c r="K83" s="9">
        <v>0</v>
      </c>
      <c r="L83" s="9">
        <v>1</v>
      </c>
      <c r="M83" s="9">
        <v>1</v>
      </c>
      <c r="N83" s="10">
        <f t="shared" si="0"/>
        <v>11</v>
      </c>
      <c r="O83" s="11">
        <v>40487</v>
      </c>
      <c r="P83" s="12">
        <f t="shared" si="1"/>
        <v>27.169214809692001</v>
      </c>
    </row>
    <row r="84" spans="1:16" ht="14.25" customHeight="1">
      <c r="A84" s="11">
        <v>351870</v>
      </c>
      <c r="B84" s="11" t="s">
        <v>87</v>
      </c>
      <c r="C84" s="8">
        <v>0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3</v>
      </c>
      <c r="M84" s="9">
        <v>0</v>
      </c>
      <c r="N84" s="10">
        <f t="shared" si="0"/>
        <v>4</v>
      </c>
      <c r="O84" s="11">
        <v>322750</v>
      </c>
      <c r="P84" s="12">
        <f t="shared" si="1"/>
        <v>1.2393493415956622</v>
      </c>
    </row>
    <row r="85" spans="1:16" ht="14.25" customHeight="1">
      <c r="A85" s="11">
        <v>351880</v>
      </c>
      <c r="B85" s="11" t="s">
        <v>88</v>
      </c>
      <c r="C85" s="8">
        <v>9</v>
      </c>
      <c r="D85" s="9">
        <v>4</v>
      </c>
      <c r="E85" s="9">
        <v>2</v>
      </c>
      <c r="F85" s="9">
        <v>5</v>
      </c>
      <c r="G85" s="9">
        <v>0</v>
      </c>
      <c r="H85" s="9">
        <v>1</v>
      </c>
      <c r="I85" s="9">
        <v>0</v>
      </c>
      <c r="J85" s="9">
        <v>0</v>
      </c>
      <c r="K85" s="9">
        <v>0</v>
      </c>
      <c r="L85" s="9">
        <v>7</v>
      </c>
      <c r="M85" s="9">
        <v>0</v>
      </c>
      <c r="N85" s="10">
        <f t="shared" si="0"/>
        <v>28</v>
      </c>
      <c r="O85" s="11">
        <v>1392121</v>
      </c>
      <c r="P85" s="12">
        <f t="shared" si="1"/>
        <v>2.0113194183551575</v>
      </c>
    </row>
    <row r="86" spans="1:16" ht="14.25" customHeight="1">
      <c r="A86" s="11">
        <v>351905</v>
      </c>
      <c r="B86" s="11" t="s">
        <v>89</v>
      </c>
      <c r="C86" s="8">
        <v>0</v>
      </c>
      <c r="D86" s="9">
        <v>0</v>
      </c>
      <c r="E86" s="9">
        <v>0</v>
      </c>
      <c r="F86" s="9">
        <v>1</v>
      </c>
      <c r="G86" s="9">
        <v>0</v>
      </c>
      <c r="H86" s="9">
        <v>0</v>
      </c>
      <c r="I86" s="9">
        <v>0</v>
      </c>
      <c r="J86" s="9">
        <v>0</v>
      </c>
      <c r="K86" s="9">
        <v>1</v>
      </c>
      <c r="L86" s="9">
        <v>3</v>
      </c>
      <c r="M86" s="9">
        <v>1</v>
      </c>
      <c r="N86" s="10">
        <f t="shared" si="0"/>
        <v>6</v>
      </c>
      <c r="O86" s="11">
        <v>15272</v>
      </c>
      <c r="P86" s="12">
        <f t="shared" si="1"/>
        <v>39.287585123101103</v>
      </c>
    </row>
    <row r="87" spans="1:16" ht="14.25" customHeight="1">
      <c r="A87" s="11">
        <v>351907</v>
      </c>
      <c r="B87" s="11" t="s">
        <v>90</v>
      </c>
      <c r="C87" s="8">
        <v>1</v>
      </c>
      <c r="D87" s="9">
        <v>0</v>
      </c>
      <c r="E87" s="9">
        <v>0</v>
      </c>
      <c r="F87" s="9">
        <v>2</v>
      </c>
      <c r="G87" s="9">
        <v>2</v>
      </c>
      <c r="H87" s="9">
        <v>0</v>
      </c>
      <c r="I87" s="9">
        <v>0</v>
      </c>
      <c r="J87" s="9">
        <v>0</v>
      </c>
      <c r="K87" s="9">
        <v>0</v>
      </c>
      <c r="L87" s="9">
        <v>4</v>
      </c>
      <c r="M87" s="9">
        <v>0</v>
      </c>
      <c r="N87" s="10">
        <f t="shared" si="0"/>
        <v>9</v>
      </c>
      <c r="O87" s="11">
        <v>234259</v>
      </c>
      <c r="P87" s="12">
        <f t="shared" si="1"/>
        <v>3.8419014851083633</v>
      </c>
    </row>
    <row r="88" spans="1:16" ht="14.25" customHeight="1">
      <c r="A88" s="11">
        <v>351910</v>
      </c>
      <c r="B88" s="11" t="s">
        <v>91</v>
      </c>
      <c r="C88" s="8">
        <v>0</v>
      </c>
      <c r="D88" s="9">
        <v>0</v>
      </c>
      <c r="E88" s="9">
        <v>0</v>
      </c>
      <c r="F88" s="9">
        <v>0</v>
      </c>
      <c r="G88" s="9">
        <v>1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2</v>
      </c>
      <c r="N88" s="10">
        <f t="shared" si="0"/>
        <v>3</v>
      </c>
      <c r="O88" s="11">
        <v>11858</v>
      </c>
      <c r="P88" s="12">
        <f t="shared" si="1"/>
        <v>25.299375948726595</v>
      </c>
    </row>
    <row r="89" spans="1:16" ht="14.25" customHeight="1">
      <c r="A89" s="11">
        <v>351950</v>
      </c>
      <c r="B89" s="11" t="s">
        <v>92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1</v>
      </c>
      <c r="M89" s="9">
        <v>0</v>
      </c>
      <c r="N89" s="10">
        <f t="shared" si="0"/>
        <v>1</v>
      </c>
      <c r="O89" s="11">
        <v>7841</v>
      </c>
      <c r="P89" s="12">
        <f t="shared" si="1"/>
        <v>12.753475322025253</v>
      </c>
    </row>
    <row r="90" spans="1:16" ht="14.25" customHeight="1">
      <c r="A90" s="11">
        <v>352040</v>
      </c>
      <c r="B90" s="11" t="s">
        <v>93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</v>
      </c>
      <c r="N90" s="10">
        <f t="shared" si="0"/>
        <v>1</v>
      </c>
      <c r="O90" s="11">
        <v>35591</v>
      </c>
      <c r="P90" s="12">
        <f t="shared" si="1"/>
        <v>2.8096990812284006</v>
      </c>
    </row>
    <row r="91" spans="1:16" ht="14.25" customHeight="1">
      <c r="A91" s="11">
        <v>352050</v>
      </c>
      <c r="B91" s="11" t="s">
        <v>94</v>
      </c>
      <c r="C91" s="8">
        <v>1</v>
      </c>
      <c r="D91" s="9">
        <v>2</v>
      </c>
      <c r="E91" s="9">
        <v>0</v>
      </c>
      <c r="F91" s="9">
        <v>0</v>
      </c>
      <c r="G91" s="9">
        <v>5</v>
      </c>
      <c r="H91" s="9">
        <v>1</v>
      </c>
      <c r="I91" s="9">
        <v>0</v>
      </c>
      <c r="J91" s="9">
        <v>0</v>
      </c>
      <c r="K91" s="9">
        <v>1</v>
      </c>
      <c r="L91" s="9">
        <v>5</v>
      </c>
      <c r="M91" s="9">
        <v>1</v>
      </c>
      <c r="N91" s="10">
        <f t="shared" si="0"/>
        <v>16</v>
      </c>
      <c r="O91" s="11">
        <v>256223</v>
      </c>
      <c r="P91" s="12">
        <f t="shared" si="1"/>
        <v>6.2445604024619188</v>
      </c>
    </row>
    <row r="92" spans="1:16" ht="14.25" customHeight="1">
      <c r="A92" s="11">
        <v>352110</v>
      </c>
      <c r="B92" s="11" t="s">
        <v>95</v>
      </c>
      <c r="C92" s="8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1</v>
      </c>
      <c r="M92" s="9">
        <v>0</v>
      </c>
      <c r="N92" s="10">
        <f t="shared" si="0"/>
        <v>1</v>
      </c>
      <c r="O92" s="11">
        <v>7687</v>
      </c>
      <c r="P92" s="12">
        <f t="shared" si="1"/>
        <v>13.008976193573565</v>
      </c>
    </row>
    <row r="93" spans="1:16" ht="14.25" customHeight="1">
      <c r="A93" s="11">
        <v>352180</v>
      </c>
      <c r="B93" s="11" t="s">
        <v>96</v>
      </c>
      <c r="C93" s="8">
        <v>1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10">
        <f t="shared" si="0"/>
        <v>1</v>
      </c>
      <c r="O93" s="11">
        <v>27382</v>
      </c>
      <c r="P93" s="12">
        <f t="shared" si="1"/>
        <v>3.6520341830399534</v>
      </c>
    </row>
    <row r="94" spans="1:16" ht="14.25" customHeight="1">
      <c r="A94" s="11">
        <v>352210</v>
      </c>
      <c r="B94" s="11" t="s">
        <v>97</v>
      </c>
      <c r="C94" s="8">
        <v>0</v>
      </c>
      <c r="D94" s="9">
        <v>0</v>
      </c>
      <c r="E94" s="9">
        <v>0</v>
      </c>
      <c r="F94" s="9">
        <v>0</v>
      </c>
      <c r="G94" s="9">
        <v>0</v>
      </c>
      <c r="H94" s="9">
        <v>1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10">
        <f t="shared" si="0"/>
        <v>1</v>
      </c>
      <c r="O94" s="11">
        <v>103102</v>
      </c>
      <c r="P94" s="12">
        <f t="shared" si="1"/>
        <v>0.96991328975189617</v>
      </c>
    </row>
    <row r="95" spans="1:16" ht="14.25" customHeight="1">
      <c r="A95" s="11">
        <v>352220</v>
      </c>
      <c r="B95" s="11" t="s">
        <v>98</v>
      </c>
      <c r="C95" s="8">
        <v>4</v>
      </c>
      <c r="D95" s="9">
        <v>1</v>
      </c>
      <c r="E95" s="9">
        <v>2</v>
      </c>
      <c r="F95" s="9">
        <v>3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3</v>
      </c>
      <c r="M95" s="9">
        <v>0</v>
      </c>
      <c r="N95" s="10">
        <f t="shared" si="0"/>
        <v>13</v>
      </c>
      <c r="O95" s="11">
        <v>177662</v>
      </c>
      <c r="P95" s="12">
        <f t="shared" si="1"/>
        <v>7.3172653690716079</v>
      </c>
    </row>
    <row r="96" spans="1:16" ht="14.25" customHeight="1">
      <c r="A96" s="11">
        <v>352230</v>
      </c>
      <c r="B96" s="11" t="s">
        <v>99</v>
      </c>
      <c r="C96" s="8">
        <v>7</v>
      </c>
      <c r="D96" s="9">
        <v>0</v>
      </c>
      <c r="E96" s="9">
        <v>1</v>
      </c>
      <c r="F96" s="9">
        <v>1</v>
      </c>
      <c r="G96" s="9">
        <v>2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10">
        <f t="shared" si="0"/>
        <v>11</v>
      </c>
      <c r="O96" s="11">
        <v>165526</v>
      </c>
      <c r="P96" s="12">
        <f t="shared" si="1"/>
        <v>6.6454816765946134</v>
      </c>
    </row>
    <row r="97" spans="1:16" ht="14.25" customHeight="1">
      <c r="A97" s="11">
        <v>352240</v>
      </c>
      <c r="B97" s="11" t="s">
        <v>100</v>
      </c>
      <c r="C97" s="8">
        <v>0</v>
      </c>
      <c r="D97" s="9">
        <v>1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10">
        <f t="shared" si="0"/>
        <v>1</v>
      </c>
      <c r="O97" s="11">
        <v>94804</v>
      </c>
      <c r="P97" s="12">
        <f t="shared" si="1"/>
        <v>1.0548078140162862</v>
      </c>
    </row>
    <row r="98" spans="1:16" ht="14.25" customHeight="1">
      <c r="A98" s="11">
        <v>352250</v>
      </c>
      <c r="B98" s="11" t="s">
        <v>101</v>
      </c>
      <c r="C98" s="8">
        <v>1</v>
      </c>
      <c r="D98" s="9">
        <v>0</v>
      </c>
      <c r="E98" s="9">
        <v>0</v>
      </c>
      <c r="F98" s="9">
        <v>1</v>
      </c>
      <c r="G98" s="9">
        <v>0</v>
      </c>
      <c r="H98" s="9">
        <v>0</v>
      </c>
      <c r="I98" s="9">
        <v>0</v>
      </c>
      <c r="J98" s="9">
        <v>1</v>
      </c>
      <c r="K98" s="9">
        <v>0</v>
      </c>
      <c r="L98" s="9">
        <v>0</v>
      </c>
      <c r="M98" s="9">
        <v>0</v>
      </c>
      <c r="N98" s="10">
        <f t="shared" si="0"/>
        <v>3</v>
      </c>
      <c r="O98" s="11">
        <v>240961</v>
      </c>
      <c r="P98" s="12">
        <f t="shared" si="1"/>
        <v>1.2450147534248281</v>
      </c>
    </row>
    <row r="99" spans="1:16" ht="14.25" customHeight="1">
      <c r="A99" s="11">
        <v>352270</v>
      </c>
      <c r="B99" s="11" t="s">
        <v>102</v>
      </c>
      <c r="C99" s="8">
        <v>0</v>
      </c>
      <c r="D99" s="9">
        <v>1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1</v>
      </c>
      <c r="M99" s="9">
        <v>0</v>
      </c>
      <c r="N99" s="10">
        <f t="shared" si="0"/>
        <v>2</v>
      </c>
      <c r="O99" s="11">
        <v>43331</v>
      </c>
      <c r="P99" s="12">
        <f t="shared" si="1"/>
        <v>4.6156331494772793</v>
      </c>
    </row>
    <row r="100" spans="1:16" ht="14.25" customHeight="1">
      <c r="A100" s="11">
        <v>352290</v>
      </c>
      <c r="B100" s="11" t="s">
        <v>103</v>
      </c>
      <c r="C100" s="8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1</v>
      </c>
      <c r="N100" s="10">
        <f t="shared" si="0"/>
        <v>1</v>
      </c>
      <c r="O100" s="11">
        <v>14147</v>
      </c>
      <c r="P100" s="12">
        <f t="shared" si="1"/>
        <v>7.0686364600268607</v>
      </c>
    </row>
    <row r="101" spans="1:16" ht="14.25" customHeight="1">
      <c r="A101" s="11">
        <v>352310</v>
      </c>
      <c r="B101" s="11" t="s">
        <v>104</v>
      </c>
      <c r="C101" s="8">
        <v>2</v>
      </c>
      <c r="D101" s="9">
        <v>0</v>
      </c>
      <c r="E101" s="9">
        <v>0</v>
      </c>
      <c r="F101" s="9">
        <v>4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10">
        <f t="shared" si="0"/>
        <v>6</v>
      </c>
      <c r="O101" s="11">
        <v>375011</v>
      </c>
      <c r="P101" s="12">
        <f t="shared" si="1"/>
        <v>1.5999530680433374</v>
      </c>
    </row>
    <row r="102" spans="1:16" ht="14.25" customHeight="1">
      <c r="A102" s="11">
        <v>352340</v>
      </c>
      <c r="B102" s="11" t="s">
        <v>105</v>
      </c>
      <c r="C102" s="8">
        <v>0</v>
      </c>
      <c r="D102" s="9">
        <v>1</v>
      </c>
      <c r="E102" s="9">
        <v>2</v>
      </c>
      <c r="F102" s="9">
        <v>1</v>
      </c>
      <c r="G102" s="9">
        <v>3</v>
      </c>
      <c r="H102" s="9">
        <v>0</v>
      </c>
      <c r="I102" s="9">
        <v>0</v>
      </c>
      <c r="J102" s="9">
        <v>0</v>
      </c>
      <c r="K102" s="9">
        <v>1</v>
      </c>
      <c r="L102" s="9">
        <v>4</v>
      </c>
      <c r="M102" s="9">
        <v>1</v>
      </c>
      <c r="N102" s="10">
        <f t="shared" si="0"/>
        <v>13</v>
      </c>
      <c r="O102" s="11">
        <v>122581</v>
      </c>
      <c r="P102" s="12">
        <f t="shared" si="1"/>
        <v>10.605232458537619</v>
      </c>
    </row>
    <row r="103" spans="1:16" ht="14.25" customHeight="1">
      <c r="A103" s="11">
        <v>352350</v>
      </c>
      <c r="B103" s="11" t="s">
        <v>106</v>
      </c>
      <c r="C103" s="8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1</v>
      </c>
      <c r="L103" s="9">
        <v>0</v>
      </c>
      <c r="M103" s="9">
        <v>0</v>
      </c>
      <c r="N103" s="10">
        <f t="shared" si="0"/>
        <v>1</v>
      </c>
      <c r="O103" s="11">
        <v>20921</v>
      </c>
      <c r="P103" s="12">
        <f t="shared" si="1"/>
        <v>4.7798862387075189</v>
      </c>
    </row>
    <row r="104" spans="1:16" ht="14.25" customHeight="1">
      <c r="A104" s="11">
        <v>352360</v>
      </c>
      <c r="B104" s="11" t="s">
        <v>107</v>
      </c>
      <c r="C104" s="8">
        <v>4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10">
        <f t="shared" si="0"/>
        <v>4</v>
      </c>
      <c r="O104" s="11">
        <v>18387</v>
      </c>
      <c r="P104" s="12">
        <f t="shared" si="1"/>
        <v>21.754500462283133</v>
      </c>
    </row>
    <row r="105" spans="1:16" ht="14.25" customHeight="1">
      <c r="A105" s="11">
        <v>352390</v>
      </c>
      <c r="B105" s="11" t="s">
        <v>108</v>
      </c>
      <c r="C105" s="8">
        <v>2</v>
      </c>
      <c r="D105" s="9">
        <v>1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1</v>
      </c>
      <c r="M105" s="9">
        <v>0</v>
      </c>
      <c r="N105" s="10">
        <f t="shared" si="0"/>
        <v>4</v>
      </c>
      <c r="O105" s="11">
        <v>175568</v>
      </c>
      <c r="P105" s="12">
        <f t="shared" si="1"/>
        <v>2.2783195115282968</v>
      </c>
    </row>
    <row r="106" spans="1:16" ht="14.25" customHeight="1">
      <c r="A106" s="11">
        <v>352400</v>
      </c>
      <c r="B106" s="11" t="s">
        <v>109</v>
      </c>
      <c r="C106" s="8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1</v>
      </c>
      <c r="N106" s="10">
        <f t="shared" si="0"/>
        <v>1</v>
      </c>
      <c r="O106" s="11">
        <v>62813</v>
      </c>
      <c r="P106" s="12">
        <f t="shared" si="1"/>
        <v>1.5920271281422635</v>
      </c>
    </row>
    <row r="107" spans="1:16" ht="14.25" customHeight="1">
      <c r="A107" s="11">
        <v>352410</v>
      </c>
      <c r="B107" s="11" t="s">
        <v>110</v>
      </c>
      <c r="C107" s="8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</v>
      </c>
      <c r="L107" s="9">
        <v>0</v>
      </c>
      <c r="M107" s="9">
        <v>0</v>
      </c>
      <c r="N107" s="10">
        <f t="shared" si="0"/>
        <v>1</v>
      </c>
      <c r="O107" s="11">
        <v>42045</v>
      </c>
      <c r="P107" s="12">
        <f t="shared" si="1"/>
        <v>2.3784040908550361</v>
      </c>
    </row>
    <row r="108" spans="1:16" ht="14.25" customHeight="1">
      <c r="A108" s="11">
        <v>352430</v>
      </c>
      <c r="B108" s="11" t="s">
        <v>111</v>
      </c>
      <c r="C108" s="8">
        <v>3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1</v>
      </c>
      <c r="M108" s="9">
        <v>1</v>
      </c>
      <c r="N108" s="10">
        <f t="shared" si="0"/>
        <v>5</v>
      </c>
      <c r="O108" s="11">
        <v>77652</v>
      </c>
      <c r="P108" s="12">
        <f t="shared" si="1"/>
        <v>6.4389841858548387</v>
      </c>
    </row>
    <row r="109" spans="1:16" ht="14.25" customHeight="1">
      <c r="A109" s="11">
        <v>352440</v>
      </c>
      <c r="B109" s="11" t="s">
        <v>112</v>
      </c>
      <c r="C109" s="8">
        <v>1</v>
      </c>
      <c r="D109" s="9">
        <v>0</v>
      </c>
      <c r="E109" s="9">
        <v>3</v>
      </c>
      <c r="F109" s="9">
        <v>4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9">
        <v>7</v>
      </c>
      <c r="M109" s="9">
        <v>0</v>
      </c>
      <c r="N109" s="10">
        <f t="shared" si="0"/>
        <v>16</v>
      </c>
      <c r="O109" s="11">
        <v>235416</v>
      </c>
      <c r="P109" s="12">
        <f t="shared" si="1"/>
        <v>6.7964794236585453</v>
      </c>
    </row>
    <row r="110" spans="1:16" ht="14.25" customHeight="1">
      <c r="A110" s="11">
        <v>352470</v>
      </c>
      <c r="B110" s="11" t="s">
        <v>113</v>
      </c>
      <c r="C110" s="8">
        <v>6</v>
      </c>
      <c r="D110" s="9">
        <v>6</v>
      </c>
      <c r="E110" s="9">
        <v>0</v>
      </c>
      <c r="F110" s="9">
        <v>1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3</v>
      </c>
      <c r="M110" s="9">
        <v>0</v>
      </c>
      <c r="N110" s="10">
        <f t="shared" si="0"/>
        <v>16</v>
      </c>
      <c r="O110" s="11">
        <v>58722</v>
      </c>
      <c r="P110" s="12">
        <f t="shared" si="1"/>
        <v>27.247028370968287</v>
      </c>
    </row>
    <row r="111" spans="1:16" ht="14.25" customHeight="1">
      <c r="A111" s="11">
        <v>352480</v>
      </c>
      <c r="B111" s="11" t="s">
        <v>114</v>
      </c>
      <c r="C111" s="8">
        <v>3</v>
      </c>
      <c r="D111" s="9">
        <v>1</v>
      </c>
      <c r="E111" s="9">
        <v>1</v>
      </c>
      <c r="F111" s="9">
        <v>1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1</v>
      </c>
      <c r="N111" s="10">
        <f t="shared" si="0"/>
        <v>7</v>
      </c>
      <c r="O111" s="11">
        <v>49201</v>
      </c>
      <c r="P111" s="12">
        <f t="shared" si="1"/>
        <v>14.227353102579215</v>
      </c>
    </row>
    <row r="112" spans="1:16" ht="14.25" customHeight="1">
      <c r="A112" s="11">
        <v>352510</v>
      </c>
      <c r="B112" s="11" t="s">
        <v>115</v>
      </c>
      <c r="C112" s="8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4</v>
      </c>
      <c r="M112" s="9">
        <v>0</v>
      </c>
      <c r="N112" s="10">
        <f t="shared" si="0"/>
        <v>4</v>
      </c>
      <c r="O112" s="11">
        <v>44970</v>
      </c>
      <c r="P112" s="12">
        <f t="shared" si="1"/>
        <v>8.8948187680675996</v>
      </c>
    </row>
    <row r="113" spans="1:16" ht="14.25" customHeight="1">
      <c r="A113" s="11">
        <v>352520</v>
      </c>
      <c r="B113" s="11" t="s">
        <v>116</v>
      </c>
      <c r="C113" s="8">
        <v>0</v>
      </c>
      <c r="D113" s="9">
        <v>0</v>
      </c>
      <c r="E113" s="9">
        <v>0</v>
      </c>
      <c r="F113" s="9">
        <v>1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10">
        <f t="shared" si="0"/>
        <v>1</v>
      </c>
      <c r="O113" s="11">
        <v>30617</v>
      </c>
      <c r="P113" s="12">
        <f t="shared" si="1"/>
        <v>3.2661593232517885</v>
      </c>
    </row>
    <row r="114" spans="1:16" ht="14.25" customHeight="1">
      <c r="A114" s="11">
        <v>352530</v>
      </c>
      <c r="B114" s="11" t="s">
        <v>117</v>
      </c>
      <c r="C114" s="8">
        <v>1</v>
      </c>
      <c r="D114" s="9">
        <v>0</v>
      </c>
      <c r="E114" s="9">
        <v>2</v>
      </c>
      <c r="F114" s="9">
        <v>5</v>
      </c>
      <c r="G114" s="9">
        <v>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10">
        <f t="shared" si="0"/>
        <v>9</v>
      </c>
      <c r="O114" s="11">
        <v>151881</v>
      </c>
      <c r="P114" s="12">
        <f t="shared" si="1"/>
        <v>5.9256918245205128</v>
      </c>
    </row>
    <row r="115" spans="1:16" ht="14.25" customHeight="1">
      <c r="A115" s="11">
        <v>352560</v>
      </c>
      <c r="B115" s="11" t="s">
        <v>118</v>
      </c>
      <c r="C115" s="8">
        <v>1</v>
      </c>
      <c r="D115" s="9">
        <v>0</v>
      </c>
      <c r="E115" s="9">
        <v>1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10">
        <f t="shared" si="0"/>
        <v>2</v>
      </c>
      <c r="O115" s="11">
        <v>4551</v>
      </c>
      <c r="P115" s="12">
        <f t="shared" si="1"/>
        <v>43.946385409800044</v>
      </c>
    </row>
    <row r="116" spans="1:16" ht="14.25" customHeight="1">
      <c r="A116" s="11">
        <v>352590</v>
      </c>
      <c r="B116" s="11" t="s">
        <v>119</v>
      </c>
      <c r="C116" s="8">
        <v>22</v>
      </c>
      <c r="D116" s="9">
        <v>16</v>
      </c>
      <c r="E116" s="9">
        <v>11</v>
      </c>
      <c r="F116" s="9">
        <v>14</v>
      </c>
      <c r="G116" s="9">
        <v>4</v>
      </c>
      <c r="H116" s="9">
        <v>1</v>
      </c>
      <c r="I116" s="9">
        <v>0</v>
      </c>
      <c r="J116" s="9">
        <v>1</v>
      </c>
      <c r="K116" s="9">
        <v>1</v>
      </c>
      <c r="L116" s="9">
        <v>2</v>
      </c>
      <c r="M116" s="9">
        <v>2</v>
      </c>
      <c r="N116" s="10">
        <f t="shared" si="0"/>
        <v>74</v>
      </c>
      <c r="O116" s="11">
        <v>423006</v>
      </c>
      <c r="P116" s="12">
        <f t="shared" si="1"/>
        <v>17.493841694916856</v>
      </c>
    </row>
    <row r="117" spans="1:16" ht="14.25" customHeight="1">
      <c r="A117" s="11">
        <v>352630</v>
      </c>
      <c r="B117" s="11" t="s">
        <v>120</v>
      </c>
      <c r="C117" s="8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1</v>
      </c>
      <c r="M117" s="9">
        <v>0</v>
      </c>
      <c r="N117" s="10">
        <f t="shared" si="0"/>
        <v>1</v>
      </c>
      <c r="O117" s="11">
        <v>4889</v>
      </c>
      <c r="P117" s="12">
        <f t="shared" si="1"/>
        <v>20.45408058907752</v>
      </c>
    </row>
    <row r="118" spans="1:16" ht="14.25" customHeight="1">
      <c r="A118" s="11">
        <v>352640</v>
      </c>
      <c r="B118" s="11" t="s">
        <v>121</v>
      </c>
      <c r="C118" s="8">
        <v>1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10">
        <f t="shared" si="0"/>
        <v>1</v>
      </c>
      <c r="O118" s="11">
        <v>28785</v>
      </c>
      <c r="P118" s="12">
        <f t="shared" si="1"/>
        <v>3.4740316136876843</v>
      </c>
    </row>
    <row r="119" spans="1:16" ht="14.25" customHeight="1">
      <c r="A119" s="11">
        <v>352650</v>
      </c>
      <c r="B119" s="11" t="s">
        <v>122</v>
      </c>
      <c r="C119" s="8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2</v>
      </c>
      <c r="M119" s="9">
        <v>0</v>
      </c>
      <c r="N119" s="10">
        <f t="shared" si="0"/>
        <v>2</v>
      </c>
      <c r="O119" s="11">
        <v>12285</v>
      </c>
      <c r="P119" s="12">
        <f t="shared" si="1"/>
        <v>16.28001628001628</v>
      </c>
    </row>
    <row r="120" spans="1:16" ht="14.25" customHeight="1">
      <c r="A120" s="11">
        <v>352670</v>
      </c>
      <c r="B120" s="11" t="s">
        <v>123</v>
      </c>
      <c r="C120" s="8">
        <v>0</v>
      </c>
      <c r="D120" s="9">
        <v>0</v>
      </c>
      <c r="E120" s="9">
        <v>0</v>
      </c>
      <c r="F120" s="9">
        <v>1</v>
      </c>
      <c r="G120" s="9">
        <v>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10">
        <f t="shared" si="0"/>
        <v>2</v>
      </c>
      <c r="O120" s="11">
        <v>104346</v>
      </c>
      <c r="P120" s="12">
        <f t="shared" si="1"/>
        <v>1.9167002089203229</v>
      </c>
    </row>
    <row r="121" spans="1:16" ht="14.25" customHeight="1">
      <c r="A121" s="11">
        <v>352680</v>
      </c>
      <c r="B121" s="11" t="s">
        <v>124</v>
      </c>
      <c r="C121" s="8">
        <v>2</v>
      </c>
      <c r="D121" s="9">
        <v>1</v>
      </c>
      <c r="E121" s="9">
        <v>2</v>
      </c>
      <c r="F121" s="9">
        <v>1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5</v>
      </c>
      <c r="N121" s="10">
        <f t="shared" si="0"/>
        <v>11</v>
      </c>
      <c r="O121" s="11">
        <v>68990</v>
      </c>
      <c r="P121" s="12">
        <f t="shared" si="1"/>
        <v>15.944339759385418</v>
      </c>
    </row>
    <row r="122" spans="1:16" ht="14.25" customHeight="1">
      <c r="A122" s="11">
        <v>352690</v>
      </c>
      <c r="B122" s="11" t="s">
        <v>125</v>
      </c>
      <c r="C122" s="8">
        <v>2</v>
      </c>
      <c r="D122" s="9">
        <v>5</v>
      </c>
      <c r="E122" s="9">
        <v>0</v>
      </c>
      <c r="F122" s="9">
        <v>6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7</v>
      </c>
      <c r="M122" s="9">
        <v>3</v>
      </c>
      <c r="N122" s="10">
        <f t="shared" si="0"/>
        <v>23</v>
      </c>
      <c r="O122" s="11">
        <v>308482</v>
      </c>
      <c r="P122" s="12">
        <f t="shared" si="1"/>
        <v>7.4558645236999244</v>
      </c>
    </row>
    <row r="123" spans="1:16" ht="14.25" customHeight="1">
      <c r="A123" s="11">
        <v>352700</v>
      </c>
      <c r="B123" s="11" t="s">
        <v>126</v>
      </c>
      <c r="C123" s="8">
        <v>0</v>
      </c>
      <c r="D123" s="9">
        <v>0</v>
      </c>
      <c r="E123" s="9">
        <v>1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10">
        <f t="shared" si="0"/>
        <v>1</v>
      </c>
      <c r="O123" s="11">
        <v>8092</v>
      </c>
      <c r="P123" s="12">
        <f t="shared" si="1"/>
        <v>12.357884330202667</v>
      </c>
    </row>
    <row r="124" spans="1:16" ht="14.25" customHeight="1">
      <c r="A124" s="11">
        <v>352710</v>
      </c>
      <c r="B124" s="11" t="s">
        <v>127</v>
      </c>
      <c r="C124" s="8">
        <v>0</v>
      </c>
      <c r="D124" s="9">
        <v>0</v>
      </c>
      <c r="E124" s="9">
        <v>0</v>
      </c>
      <c r="F124" s="9">
        <v>0</v>
      </c>
      <c r="G124" s="9">
        <v>1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1</v>
      </c>
      <c r="N124" s="10">
        <f t="shared" si="0"/>
        <v>2</v>
      </c>
      <c r="O124" s="11">
        <v>78503</v>
      </c>
      <c r="P124" s="12">
        <f t="shared" si="1"/>
        <v>2.5476733373246883</v>
      </c>
    </row>
    <row r="125" spans="1:16" ht="14.25" customHeight="1">
      <c r="A125" s="11">
        <v>352720</v>
      </c>
      <c r="B125" s="11" t="s">
        <v>128</v>
      </c>
      <c r="C125" s="8">
        <v>0</v>
      </c>
      <c r="D125" s="9">
        <v>5</v>
      </c>
      <c r="E125" s="9">
        <v>1</v>
      </c>
      <c r="F125" s="9">
        <v>1</v>
      </c>
      <c r="G125" s="9">
        <v>1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1</v>
      </c>
      <c r="N125" s="10">
        <f t="shared" si="0"/>
        <v>9</v>
      </c>
      <c r="O125" s="11">
        <v>89125</v>
      </c>
      <c r="P125" s="12">
        <f t="shared" si="1"/>
        <v>10.098176718092567</v>
      </c>
    </row>
    <row r="126" spans="1:16" ht="14.25" customHeight="1">
      <c r="A126" s="11">
        <v>352730</v>
      </c>
      <c r="B126" s="11" t="s">
        <v>129</v>
      </c>
      <c r="C126" s="8">
        <v>3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2</v>
      </c>
      <c r="M126" s="9">
        <v>0</v>
      </c>
      <c r="N126" s="10">
        <f t="shared" si="0"/>
        <v>5</v>
      </c>
      <c r="O126" s="11">
        <v>49932</v>
      </c>
      <c r="P126" s="12">
        <f t="shared" si="1"/>
        <v>10.013618521188816</v>
      </c>
    </row>
    <row r="127" spans="1:16" ht="14.25" customHeight="1">
      <c r="A127" s="11">
        <v>352760</v>
      </c>
      <c r="B127" s="11" t="s">
        <v>130</v>
      </c>
      <c r="C127" s="8">
        <v>1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10">
        <f t="shared" si="0"/>
        <v>1</v>
      </c>
      <c r="O127" s="11">
        <v>15292</v>
      </c>
      <c r="P127" s="12">
        <f t="shared" si="1"/>
        <v>6.5393669892754378</v>
      </c>
    </row>
    <row r="128" spans="1:16" ht="14.25" customHeight="1">
      <c r="A128" s="11">
        <v>352800</v>
      </c>
      <c r="B128" s="11" t="s">
        <v>131</v>
      </c>
      <c r="C128" s="8">
        <v>0</v>
      </c>
      <c r="D128" s="9">
        <v>0</v>
      </c>
      <c r="E128" s="9">
        <v>1</v>
      </c>
      <c r="F128" s="9">
        <v>4</v>
      </c>
      <c r="G128" s="9">
        <v>11</v>
      </c>
      <c r="H128" s="9">
        <v>1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10">
        <f t="shared" si="0"/>
        <v>17</v>
      </c>
      <c r="O128" s="11">
        <v>17214</v>
      </c>
      <c r="P128" s="12">
        <f t="shared" si="1"/>
        <v>98.756825839433006</v>
      </c>
    </row>
    <row r="129" spans="1:16" ht="14.25" customHeight="1">
      <c r="A129" s="11">
        <v>352850</v>
      </c>
      <c r="B129" s="11" t="s">
        <v>132</v>
      </c>
      <c r="C129" s="8">
        <v>1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2</v>
      </c>
      <c r="M129" s="9">
        <v>0</v>
      </c>
      <c r="N129" s="10">
        <f t="shared" si="0"/>
        <v>3</v>
      </c>
      <c r="O129" s="11">
        <v>101937</v>
      </c>
      <c r="P129" s="12">
        <f t="shared" si="1"/>
        <v>2.9429942023014215</v>
      </c>
    </row>
    <row r="130" spans="1:16" ht="14.25" customHeight="1">
      <c r="A130" s="11">
        <v>352880</v>
      </c>
      <c r="B130" s="11" t="s">
        <v>133</v>
      </c>
      <c r="C130" s="8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1</v>
      </c>
      <c r="M130" s="9">
        <v>0</v>
      </c>
      <c r="N130" s="10">
        <f t="shared" si="0"/>
        <v>1</v>
      </c>
      <c r="O130" s="11">
        <v>14036</v>
      </c>
      <c r="P130" s="12">
        <f t="shared" si="1"/>
        <v>7.1245369051011691</v>
      </c>
    </row>
    <row r="131" spans="1:16" ht="14.25" customHeight="1">
      <c r="A131" s="11">
        <v>352900</v>
      </c>
      <c r="B131" s="11" t="s">
        <v>134</v>
      </c>
      <c r="C131" s="8">
        <v>4</v>
      </c>
      <c r="D131" s="9">
        <v>2</v>
      </c>
      <c r="E131" s="9">
        <v>8</v>
      </c>
      <c r="F131" s="9">
        <v>1</v>
      </c>
      <c r="G131" s="9">
        <v>3</v>
      </c>
      <c r="H131" s="9">
        <v>1</v>
      </c>
      <c r="I131" s="9">
        <v>0</v>
      </c>
      <c r="J131" s="9">
        <v>0</v>
      </c>
      <c r="K131" s="9">
        <v>0</v>
      </c>
      <c r="L131" s="9">
        <v>7</v>
      </c>
      <c r="M131" s="9">
        <v>2</v>
      </c>
      <c r="N131" s="10">
        <f t="shared" si="0"/>
        <v>28</v>
      </c>
      <c r="O131" s="11">
        <v>240590</v>
      </c>
      <c r="P131" s="12">
        <f t="shared" si="1"/>
        <v>11.638056444573756</v>
      </c>
    </row>
    <row r="132" spans="1:16" ht="14.25" customHeight="1">
      <c r="A132" s="11">
        <v>352930</v>
      </c>
      <c r="B132" s="11" t="s">
        <v>135</v>
      </c>
      <c r="C132" s="8">
        <v>1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</v>
      </c>
      <c r="M132" s="9">
        <v>0</v>
      </c>
      <c r="N132" s="10">
        <f t="shared" si="0"/>
        <v>2</v>
      </c>
      <c r="O132" s="11">
        <v>83626</v>
      </c>
      <c r="P132" s="12">
        <f t="shared" si="1"/>
        <v>2.3916006983474039</v>
      </c>
    </row>
    <row r="133" spans="1:16" ht="14.25" customHeight="1">
      <c r="A133" s="11">
        <v>352940</v>
      </c>
      <c r="B133" s="11" t="s">
        <v>136</v>
      </c>
      <c r="C133" s="8">
        <v>1</v>
      </c>
      <c r="D133" s="9">
        <v>0</v>
      </c>
      <c r="E133" s="9">
        <v>1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3</v>
      </c>
      <c r="L133" s="9">
        <v>2</v>
      </c>
      <c r="M133" s="9">
        <v>1</v>
      </c>
      <c r="N133" s="10">
        <f t="shared" si="0"/>
        <v>8</v>
      </c>
      <c r="O133" s="11">
        <v>477220</v>
      </c>
      <c r="P133" s="12">
        <f t="shared" si="1"/>
        <v>1.6763756757889441</v>
      </c>
    </row>
    <row r="134" spans="1:16" ht="14.25" customHeight="1">
      <c r="A134" s="11">
        <v>353010</v>
      </c>
      <c r="B134" s="11" t="s">
        <v>137</v>
      </c>
      <c r="C134" s="8">
        <v>0</v>
      </c>
      <c r="D134" s="9">
        <v>1</v>
      </c>
      <c r="E134" s="9">
        <v>0</v>
      </c>
      <c r="F134" s="9">
        <v>1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1</v>
      </c>
      <c r="N134" s="10">
        <f t="shared" si="0"/>
        <v>3</v>
      </c>
      <c r="O134" s="11">
        <v>29706</v>
      </c>
      <c r="P134" s="12">
        <f t="shared" si="1"/>
        <v>10.098969905069682</v>
      </c>
    </row>
    <row r="135" spans="1:16" ht="14.25" customHeight="1">
      <c r="A135" s="11">
        <v>353030</v>
      </c>
      <c r="B135" s="11" t="s">
        <v>138</v>
      </c>
      <c r="C135" s="8">
        <v>1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10">
        <f t="shared" si="0"/>
        <v>1</v>
      </c>
      <c r="O135" s="11">
        <v>60303</v>
      </c>
      <c r="P135" s="12">
        <f t="shared" si="1"/>
        <v>1.6582922905991411</v>
      </c>
    </row>
    <row r="136" spans="1:16" ht="14.25" customHeight="1">
      <c r="A136" s="11">
        <v>353050</v>
      </c>
      <c r="B136" s="11" t="s">
        <v>139</v>
      </c>
      <c r="C136" s="8">
        <v>1</v>
      </c>
      <c r="D136" s="9">
        <v>1</v>
      </c>
      <c r="E136" s="9">
        <v>0</v>
      </c>
      <c r="F136" s="9">
        <v>1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</v>
      </c>
      <c r="M136" s="9">
        <v>0</v>
      </c>
      <c r="N136" s="10">
        <f t="shared" si="0"/>
        <v>5</v>
      </c>
      <c r="O136" s="11">
        <v>68980</v>
      </c>
      <c r="P136" s="12">
        <f t="shared" si="1"/>
        <v>7.2484778196578716</v>
      </c>
    </row>
    <row r="137" spans="1:16" ht="14.25" customHeight="1">
      <c r="A137" s="11">
        <v>353060</v>
      </c>
      <c r="B137" s="11" t="s">
        <v>140</v>
      </c>
      <c r="C137" s="8">
        <v>0</v>
      </c>
      <c r="D137" s="9">
        <v>1</v>
      </c>
      <c r="E137" s="9">
        <v>6</v>
      </c>
      <c r="F137" s="9">
        <v>5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</v>
      </c>
      <c r="M137" s="9">
        <v>1</v>
      </c>
      <c r="N137" s="10">
        <f t="shared" si="0"/>
        <v>14</v>
      </c>
      <c r="O137" s="11">
        <v>450785</v>
      </c>
      <c r="P137" s="12">
        <f t="shared" si="1"/>
        <v>3.1056934015106981</v>
      </c>
    </row>
    <row r="138" spans="1:16" ht="14.25" customHeight="1">
      <c r="A138" s="11">
        <v>353070</v>
      </c>
      <c r="B138" s="11" t="s">
        <v>141</v>
      </c>
      <c r="C138" s="8">
        <v>0</v>
      </c>
      <c r="D138" s="9">
        <v>1</v>
      </c>
      <c r="E138" s="9">
        <v>2</v>
      </c>
      <c r="F138" s="9">
        <v>2</v>
      </c>
      <c r="G138" s="9">
        <v>3</v>
      </c>
      <c r="H138" s="9">
        <v>0</v>
      </c>
      <c r="I138" s="9">
        <v>0</v>
      </c>
      <c r="J138" s="9">
        <v>0</v>
      </c>
      <c r="K138" s="9">
        <v>0</v>
      </c>
      <c r="L138" s="9">
        <v>9</v>
      </c>
      <c r="M138" s="9">
        <v>1</v>
      </c>
      <c r="N138" s="10">
        <f t="shared" si="0"/>
        <v>18</v>
      </c>
      <c r="O138" s="11">
        <v>153033</v>
      </c>
      <c r="P138" s="12">
        <f t="shared" si="1"/>
        <v>11.762168943953265</v>
      </c>
    </row>
    <row r="139" spans="1:16" ht="14.25" customHeight="1">
      <c r="A139" s="11">
        <v>353080</v>
      </c>
      <c r="B139" s="11" t="s">
        <v>142</v>
      </c>
      <c r="C139" s="8">
        <v>0</v>
      </c>
      <c r="D139" s="9">
        <v>1</v>
      </c>
      <c r="E139" s="9">
        <v>1</v>
      </c>
      <c r="F139" s="9">
        <v>0</v>
      </c>
      <c r="G139" s="9">
        <v>2</v>
      </c>
      <c r="H139" s="9">
        <v>0</v>
      </c>
      <c r="I139" s="9">
        <v>0</v>
      </c>
      <c r="J139" s="9">
        <v>0</v>
      </c>
      <c r="K139" s="9">
        <v>0</v>
      </c>
      <c r="L139" s="9">
        <v>2</v>
      </c>
      <c r="M139" s="9">
        <v>1</v>
      </c>
      <c r="N139" s="10">
        <f t="shared" si="0"/>
        <v>7</v>
      </c>
      <c r="O139" s="11">
        <v>93650</v>
      </c>
      <c r="P139" s="12">
        <f t="shared" si="1"/>
        <v>7.4746396155899619</v>
      </c>
    </row>
    <row r="140" spans="1:16" ht="14.25" customHeight="1">
      <c r="A140" s="11">
        <v>353090</v>
      </c>
      <c r="B140" s="11" t="s">
        <v>143</v>
      </c>
      <c r="C140" s="8">
        <v>0</v>
      </c>
      <c r="D140" s="9">
        <v>0</v>
      </c>
      <c r="E140" s="9">
        <v>1</v>
      </c>
      <c r="F140" s="9">
        <v>1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10">
        <f t="shared" si="0"/>
        <v>2</v>
      </c>
      <c r="O140" s="11">
        <v>3508</v>
      </c>
      <c r="P140" s="12">
        <f t="shared" si="1"/>
        <v>57.012542759407069</v>
      </c>
    </row>
    <row r="141" spans="1:16" ht="14.25" customHeight="1">
      <c r="A141" s="11">
        <v>353110</v>
      </c>
      <c r="B141" s="11" t="s">
        <v>144</v>
      </c>
      <c r="C141" s="8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3</v>
      </c>
      <c r="N141" s="10">
        <f t="shared" si="0"/>
        <v>3</v>
      </c>
      <c r="O141" s="11">
        <v>57648</v>
      </c>
      <c r="P141" s="12">
        <f t="shared" si="1"/>
        <v>5.203996669442132</v>
      </c>
    </row>
    <row r="142" spans="1:16" ht="14.25" customHeight="1">
      <c r="A142" s="11">
        <v>353120</v>
      </c>
      <c r="B142" s="11" t="s">
        <v>145</v>
      </c>
      <c r="C142" s="8">
        <v>0</v>
      </c>
      <c r="D142" s="9">
        <v>0</v>
      </c>
      <c r="E142" s="9">
        <v>0</v>
      </c>
      <c r="F142" s="9">
        <v>1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10">
        <f t="shared" si="0"/>
        <v>1</v>
      </c>
      <c r="O142" s="11">
        <v>8111</v>
      </c>
      <c r="P142" s="12">
        <f t="shared" si="1"/>
        <v>12.328936012822092</v>
      </c>
    </row>
    <row r="143" spans="1:16" ht="14.25" customHeight="1">
      <c r="A143" s="11">
        <v>353130</v>
      </c>
      <c r="B143" s="11" t="s">
        <v>146</v>
      </c>
      <c r="C143" s="8">
        <v>1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10">
        <f t="shared" si="0"/>
        <v>1</v>
      </c>
      <c r="O143" s="11">
        <v>50772</v>
      </c>
      <c r="P143" s="12">
        <f t="shared" si="1"/>
        <v>1.9695895375403767</v>
      </c>
    </row>
    <row r="144" spans="1:16" ht="14.25" customHeight="1">
      <c r="A144" s="11">
        <v>353180</v>
      </c>
      <c r="B144" s="11" t="s">
        <v>147</v>
      </c>
      <c r="C144" s="8">
        <v>2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</v>
      </c>
      <c r="M144" s="9">
        <v>1</v>
      </c>
      <c r="N144" s="10">
        <f t="shared" si="0"/>
        <v>4</v>
      </c>
      <c r="O144" s="11">
        <v>60754</v>
      </c>
      <c r="P144" s="12">
        <f t="shared" si="1"/>
        <v>6.5839286302136486</v>
      </c>
    </row>
    <row r="145" spans="1:16" ht="14.25" customHeight="1">
      <c r="A145" s="11">
        <v>353190</v>
      </c>
      <c r="B145" s="11" t="s">
        <v>148</v>
      </c>
      <c r="C145" s="8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1</v>
      </c>
      <c r="N145" s="10">
        <f t="shared" si="0"/>
        <v>1</v>
      </c>
      <c r="O145" s="11">
        <v>33288</v>
      </c>
      <c r="P145" s="12">
        <f t="shared" si="1"/>
        <v>3.0040855563566451</v>
      </c>
    </row>
    <row r="146" spans="1:16" ht="14.25" customHeight="1">
      <c r="A146" s="11">
        <v>353200</v>
      </c>
      <c r="B146" s="11" t="s">
        <v>149</v>
      </c>
      <c r="C146" s="8">
        <v>0</v>
      </c>
      <c r="D146" s="9">
        <v>1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10">
        <f t="shared" si="0"/>
        <v>1</v>
      </c>
      <c r="O146" s="11">
        <v>13781</v>
      </c>
      <c r="P146" s="12">
        <f t="shared" si="1"/>
        <v>7.2563674624482992</v>
      </c>
    </row>
    <row r="147" spans="1:16" ht="14.25" customHeight="1">
      <c r="A147" s="11">
        <v>353310</v>
      </c>
      <c r="B147" s="11" t="s">
        <v>150</v>
      </c>
      <c r="C147" s="8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1</v>
      </c>
      <c r="N147" s="10">
        <f t="shared" si="0"/>
        <v>1</v>
      </c>
      <c r="O147" s="11">
        <v>2325</v>
      </c>
      <c r="P147" s="12">
        <f t="shared" si="1"/>
        <v>43.01075268817204</v>
      </c>
    </row>
    <row r="148" spans="1:16" ht="14.25" customHeight="1">
      <c r="A148" s="11">
        <v>353340</v>
      </c>
      <c r="B148" s="11" t="s">
        <v>151</v>
      </c>
      <c r="C148" s="8">
        <v>0</v>
      </c>
      <c r="D148" s="9">
        <v>1</v>
      </c>
      <c r="E148" s="9">
        <v>0</v>
      </c>
      <c r="F148" s="9">
        <v>1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2</v>
      </c>
      <c r="M148" s="9">
        <v>0</v>
      </c>
      <c r="N148" s="10">
        <f t="shared" si="0"/>
        <v>4</v>
      </c>
      <c r="O148" s="11">
        <v>60956</v>
      </c>
      <c r="P148" s="12">
        <f t="shared" si="1"/>
        <v>6.5621103746965028</v>
      </c>
    </row>
    <row r="149" spans="1:16" ht="14.25" customHeight="1">
      <c r="A149" s="11">
        <v>353390</v>
      </c>
      <c r="B149" s="11" t="s">
        <v>152</v>
      </c>
      <c r="C149" s="8">
        <v>1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10">
        <f t="shared" si="0"/>
        <v>1</v>
      </c>
      <c r="O149" s="11">
        <v>55130</v>
      </c>
      <c r="P149" s="12">
        <f t="shared" si="1"/>
        <v>1.8138944313440959</v>
      </c>
    </row>
    <row r="150" spans="1:16" ht="14.25" customHeight="1">
      <c r="A150" s="11">
        <v>353430</v>
      </c>
      <c r="B150" s="11" t="s">
        <v>153</v>
      </c>
      <c r="C150" s="8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1</v>
      </c>
      <c r="M150" s="9">
        <v>0</v>
      </c>
      <c r="N150" s="10">
        <f t="shared" si="0"/>
        <v>1</v>
      </c>
      <c r="O150" s="11">
        <v>44360</v>
      </c>
      <c r="P150" s="12">
        <f t="shared" si="1"/>
        <v>2.254283137962128</v>
      </c>
    </row>
    <row r="151" spans="1:16" ht="14.25" customHeight="1">
      <c r="A151" s="11">
        <v>353440</v>
      </c>
      <c r="B151" s="11" t="s">
        <v>154</v>
      </c>
      <c r="C151" s="8">
        <v>3</v>
      </c>
      <c r="D151" s="9">
        <v>1</v>
      </c>
      <c r="E151" s="9">
        <v>4</v>
      </c>
      <c r="F151" s="9">
        <v>3</v>
      </c>
      <c r="G151" s="9">
        <v>1</v>
      </c>
      <c r="H151" s="9">
        <v>1</v>
      </c>
      <c r="I151" s="9">
        <v>0</v>
      </c>
      <c r="J151" s="9">
        <v>0</v>
      </c>
      <c r="K151" s="9">
        <v>1</v>
      </c>
      <c r="L151" s="9">
        <v>4</v>
      </c>
      <c r="M151" s="9">
        <v>6</v>
      </c>
      <c r="N151" s="10">
        <f t="shared" si="0"/>
        <v>24</v>
      </c>
      <c r="O151" s="11">
        <v>699944</v>
      </c>
      <c r="P151" s="12">
        <f t="shared" si="1"/>
        <v>3.4288457362303268</v>
      </c>
    </row>
    <row r="152" spans="1:16" ht="14.25" customHeight="1">
      <c r="A152" s="11">
        <v>353460</v>
      </c>
      <c r="B152" s="11" t="s">
        <v>155</v>
      </c>
      <c r="C152" s="8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1</v>
      </c>
      <c r="N152" s="10">
        <f t="shared" si="0"/>
        <v>1</v>
      </c>
      <c r="O152" s="11">
        <v>33000</v>
      </c>
      <c r="P152" s="12">
        <f t="shared" si="1"/>
        <v>3.0303030303030303</v>
      </c>
    </row>
    <row r="153" spans="1:16" ht="14.25" customHeight="1">
      <c r="A153" s="11">
        <v>353470</v>
      </c>
      <c r="B153" s="11" t="s">
        <v>156</v>
      </c>
      <c r="C153" s="8">
        <v>2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10">
        <f t="shared" si="0"/>
        <v>2</v>
      </c>
      <c r="O153" s="11">
        <v>114352</v>
      </c>
      <c r="P153" s="12">
        <f t="shared" si="1"/>
        <v>1.7489855883587517</v>
      </c>
    </row>
    <row r="154" spans="1:16" ht="14.25" customHeight="1">
      <c r="A154" s="11">
        <v>353510</v>
      </c>
      <c r="B154" s="11" t="s">
        <v>157</v>
      </c>
      <c r="C154" s="8">
        <v>0</v>
      </c>
      <c r="D154" s="9">
        <v>0</v>
      </c>
      <c r="E154" s="9">
        <v>0</v>
      </c>
      <c r="F154" s="9">
        <v>1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10">
        <f t="shared" si="0"/>
        <v>1</v>
      </c>
      <c r="O154" s="11">
        <v>13486</v>
      </c>
      <c r="P154" s="12">
        <f t="shared" si="1"/>
        <v>7.4150971377725039</v>
      </c>
    </row>
    <row r="155" spans="1:16" ht="14.25" customHeight="1">
      <c r="A155" s="11">
        <v>353520</v>
      </c>
      <c r="B155" s="11" t="s">
        <v>158</v>
      </c>
      <c r="C155" s="8">
        <v>1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10">
        <f t="shared" si="0"/>
        <v>1</v>
      </c>
      <c r="O155" s="11">
        <v>9227</v>
      </c>
      <c r="P155" s="12">
        <f t="shared" si="1"/>
        <v>10.837758751490192</v>
      </c>
    </row>
    <row r="156" spans="1:16" ht="14.25" customHeight="1">
      <c r="A156" s="11">
        <v>353530</v>
      </c>
      <c r="B156" s="11" t="s">
        <v>159</v>
      </c>
      <c r="C156" s="8">
        <v>0</v>
      </c>
      <c r="D156" s="9">
        <v>0</v>
      </c>
      <c r="E156" s="9">
        <v>0</v>
      </c>
      <c r="F156" s="9">
        <v>2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10">
        <f t="shared" si="0"/>
        <v>2</v>
      </c>
      <c r="O156" s="11">
        <v>22272</v>
      </c>
      <c r="P156" s="12">
        <f t="shared" si="1"/>
        <v>8.9798850574712645</v>
      </c>
    </row>
    <row r="157" spans="1:16" ht="14.25" customHeight="1">
      <c r="A157" s="11">
        <v>353550</v>
      </c>
      <c r="B157" s="11" t="s">
        <v>160</v>
      </c>
      <c r="C157" s="8">
        <v>4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10">
        <f t="shared" si="0"/>
        <v>4</v>
      </c>
      <c r="O157" s="11">
        <v>45945</v>
      </c>
      <c r="P157" s="12">
        <f t="shared" si="1"/>
        <v>8.7060615953857869</v>
      </c>
    </row>
    <row r="158" spans="1:16" ht="14.25" customHeight="1">
      <c r="A158" s="11">
        <v>353620</v>
      </c>
      <c r="B158" s="11" t="s">
        <v>161</v>
      </c>
      <c r="C158" s="8">
        <v>0</v>
      </c>
      <c r="D158" s="9">
        <v>0</v>
      </c>
      <c r="E158" s="9">
        <v>1</v>
      </c>
      <c r="F158" s="9">
        <v>0</v>
      </c>
      <c r="G158" s="9">
        <v>1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10">
        <f t="shared" si="0"/>
        <v>2</v>
      </c>
      <c r="O158" s="11">
        <v>19723</v>
      </c>
      <c r="P158" s="12">
        <f t="shared" si="1"/>
        <v>10.140445165542769</v>
      </c>
    </row>
    <row r="159" spans="1:16" ht="14.25" customHeight="1">
      <c r="A159" s="11">
        <v>353650</v>
      </c>
      <c r="B159" s="11" t="s">
        <v>162</v>
      </c>
      <c r="C159" s="8">
        <v>4</v>
      </c>
      <c r="D159" s="9">
        <v>1</v>
      </c>
      <c r="E159" s="9">
        <v>5</v>
      </c>
      <c r="F159" s="9">
        <v>3</v>
      </c>
      <c r="G159" s="9">
        <v>4</v>
      </c>
      <c r="H159" s="9">
        <v>1</v>
      </c>
      <c r="I159" s="9">
        <v>0</v>
      </c>
      <c r="J159" s="9">
        <v>0</v>
      </c>
      <c r="K159" s="9">
        <v>1</v>
      </c>
      <c r="L159" s="9">
        <v>7</v>
      </c>
      <c r="M159" s="9">
        <v>3</v>
      </c>
      <c r="N159" s="10">
        <f t="shared" si="0"/>
        <v>29</v>
      </c>
      <c r="O159" s="11">
        <v>112003</v>
      </c>
      <c r="P159" s="12">
        <f t="shared" si="1"/>
        <v>25.89216360276064</v>
      </c>
    </row>
    <row r="160" spans="1:16" ht="14.25" customHeight="1">
      <c r="A160" s="11">
        <v>353670</v>
      </c>
      <c r="B160" s="11" t="s">
        <v>163</v>
      </c>
      <c r="C160" s="8">
        <v>0</v>
      </c>
      <c r="D160" s="9">
        <v>0</v>
      </c>
      <c r="E160" s="9">
        <v>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10">
        <f t="shared" si="0"/>
        <v>1</v>
      </c>
      <c r="O160" s="11">
        <v>47111</v>
      </c>
      <c r="P160" s="12">
        <f t="shared" si="1"/>
        <v>2.1226465156757444</v>
      </c>
    </row>
    <row r="161" spans="1:16" ht="14.25" customHeight="1">
      <c r="A161" s="11">
        <v>353700</v>
      </c>
      <c r="B161" s="11" t="s">
        <v>164</v>
      </c>
      <c r="C161" s="8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1</v>
      </c>
      <c r="N161" s="10">
        <f t="shared" si="0"/>
        <v>1</v>
      </c>
      <c r="O161" s="11">
        <v>16811</v>
      </c>
      <c r="P161" s="12">
        <f t="shared" si="1"/>
        <v>5.9484861102849322</v>
      </c>
    </row>
    <row r="162" spans="1:16" ht="14.25" customHeight="1">
      <c r="A162" s="11">
        <v>353710</v>
      </c>
      <c r="B162" s="11" t="s">
        <v>165</v>
      </c>
      <c r="C162" s="8">
        <v>1</v>
      </c>
      <c r="D162" s="9">
        <v>2</v>
      </c>
      <c r="E162" s="9">
        <v>1</v>
      </c>
      <c r="F162" s="9">
        <v>2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10">
        <f t="shared" si="0"/>
        <v>6</v>
      </c>
      <c r="O162" s="11">
        <v>48463</v>
      </c>
      <c r="P162" s="12">
        <f t="shared" si="1"/>
        <v>12.38057899841116</v>
      </c>
    </row>
    <row r="163" spans="1:16" ht="14.25" customHeight="1">
      <c r="A163" s="11">
        <v>353715</v>
      </c>
      <c r="B163" s="11" t="s">
        <v>166</v>
      </c>
      <c r="C163" s="8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1</v>
      </c>
      <c r="N163" s="10">
        <f t="shared" si="0"/>
        <v>1</v>
      </c>
      <c r="O163" s="11">
        <v>3101</v>
      </c>
      <c r="P163" s="12">
        <f t="shared" si="1"/>
        <v>32.247662044501773</v>
      </c>
    </row>
    <row r="164" spans="1:16" ht="14.25" customHeight="1">
      <c r="A164" s="11">
        <v>353730</v>
      </c>
      <c r="B164" s="11" t="s">
        <v>167</v>
      </c>
      <c r="C164" s="8">
        <v>1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10">
        <f t="shared" si="0"/>
        <v>1</v>
      </c>
      <c r="O164" s="11">
        <v>63757</v>
      </c>
      <c r="P164" s="12">
        <f t="shared" si="1"/>
        <v>1.568455228445504</v>
      </c>
    </row>
    <row r="165" spans="1:16" ht="14.25" customHeight="1">
      <c r="A165" s="11">
        <v>353760</v>
      </c>
      <c r="B165" s="11" t="s">
        <v>168</v>
      </c>
      <c r="C165" s="8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3</v>
      </c>
      <c r="M165" s="9">
        <v>0</v>
      </c>
      <c r="N165" s="10">
        <f t="shared" si="0"/>
        <v>3</v>
      </c>
      <c r="O165" s="11">
        <v>69001</v>
      </c>
      <c r="P165" s="12">
        <f t="shared" si="1"/>
        <v>4.3477630758974506</v>
      </c>
    </row>
    <row r="166" spans="1:16" ht="14.25" customHeight="1">
      <c r="A166" s="11">
        <v>353790</v>
      </c>
      <c r="B166" s="11" t="s">
        <v>169</v>
      </c>
      <c r="C166" s="8">
        <v>0</v>
      </c>
      <c r="D166" s="9">
        <v>0</v>
      </c>
      <c r="E166" s="9">
        <v>0</v>
      </c>
      <c r="F166" s="9">
        <v>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10">
        <f t="shared" si="0"/>
        <v>1</v>
      </c>
      <c r="O166" s="11">
        <v>29402</v>
      </c>
      <c r="P166" s="12">
        <f t="shared" si="1"/>
        <v>3.4011291748860621</v>
      </c>
    </row>
    <row r="167" spans="1:16" ht="14.25" customHeight="1">
      <c r="A167" s="11">
        <v>353800</v>
      </c>
      <c r="B167" s="11" t="s">
        <v>170</v>
      </c>
      <c r="C167" s="8">
        <v>5</v>
      </c>
      <c r="D167" s="9">
        <v>6</v>
      </c>
      <c r="E167" s="9">
        <v>6</v>
      </c>
      <c r="F167" s="9">
        <v>3</v>
      </c>
      <c r="G167" s="9">
        <v>4</v>
      </c>
      <c r="H167" s="9">
        <v>0</v>
      </c>
      <c r="I167" s="9">
        <v>1</v>
      </c>
      <c r="J167" s="9">
        <v>0</v>
      </c>
      <c r="K167" s="9">
        <v>1</v>
      </c>
      <c r="L167" s="9">
        <v>2</v>
      </c>
      <c r="M167" s="9">
        <v>1</v>
      </c>
      <c r="N167" s="10">
        <f t="shared" si="0"/>
        <v>29</v>
      </c>
      <c r="O167" s="11">
        <v>170132</v>
      </c>
      <c r="P167" s="12">
        <f t="shared" si="1"/>
        <v>17.045588131568429</v>
      </c>
    </row>
    <row r="168" spans="1:16" ht="14.25" customHeight="1">
      <c r="A168" s="11">
        <v>353810</v>
      </c>
      <c r="B168" s="11" t="s">
        <v>171</v>
      </c>
      <c r="C168" s="8">
        <v>0</v>
      </c>
      <c r="D168" s="9">
        <v>0</v>
      </c>
      <c r="E168" s="9">
        <v>0</v>
      </c>
      <c r="F168" s="9">
        <v>2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10">
        <f t="shared" si="0"/>
        <v>2</v>
      </c>
      <c r="O168" s="11">
        <v>17216</v>
      </c>
      <c r="P168" s="12">
        <f t="shared" si="1"/>
        <v>11.617100371747211</v>
      </c>
    </row>
    <row r="169" spans="1:16" ht="14.25" customHeight="1">
      <c r="A169" s="11">
        <v>353870</v>
      </c>
      <c r="B169" s="11" t="s">
        <v>172</v>
      </c>
      <c r="C169" s="8">
        <v>6</v>
      </c>
      <c r="D169" s="9">
        <v>2</v>
      </c>
      <c r="E169" s="9">
        <v>3</v>
      </c>
      <c r="F169" s="9">
        <v>3</v>
      </c>
      <c r="G169" s="9">
        <v>2</v>
      </c>
      <c r="H169" s="9">
        <v>0</v>
      </c>
      <c r="I169" s="9">
        <v>0</v>
      </c>
      <c r="J169" s="9">
        <v>0</v>
      </c>
      <c r="K169" s="9">
        <v>0</v>
      </c>
      <c r="L169" s="9">
        <v>20</v>
      </c>
      <c r="M169" s="9">
        <v>3</v>
      </c>
      <c r="N169" s="10">
        <f t="shared" si="0"/>
        <v>39</v>
      </c>
      <c r="O169" s="11">
        <v>407252</v>
      </c>
      <c r="P169" s="12">
        <f t="shared" si="1"/>
        <v>9.5763802264936686</v>
      </c>
    </row>
    <row r="170" spans="1:16" ht="14.25" customHeight="1">
      <c r="A170" s="11">
        <v>353880</v>
      </c>
      <c r="B170" s="11" t="s">
        <v>173</v>
      </c>
      <c r="C170" s="8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1</v>
      </c>
      <c r="M170" s="9">
        <v>1</v>
      </c>
      <c r="N170" s="10">
        <f t="shared" si="0"/>
        <v>2</v>
      </c>
      <c r="O170" s="11">
        <v>29869</v>
      </c>
      <c r="P170" s="12">
        <f t="shared" si="1"/>
        <v>6.6959054538149925</v>
      </c>
    </row>
    <row r="171" spans="1:16" ht="14.25" customHeight="1">
      <c r="A171" s="11">
        <v>353900</v>
      </c>
      <c r="B171" s="11" t="s">
        <v>174</v>
      </c>
      <c r="C171" s="8">
        <v>0</v>
      </c>
      <c r="D171" s="9">
        <v>0</v>
      </c>
      <c r="E171" s="9">
        <v>1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10">
        <f t="shared" si="0"/>
        <v>1</v>
      </c>
      <c r="O171" s="11">
        <v>11471</v>
      </c>
      <c r="P171" s="12">
        <f t="shared" si="1"/>
        <v>8.7176357771772306</v>
      </c>
    </row>
    <row r="172" spans="1:16" ht="14.25" customHeight="1">
      <c r="A172" s="11">
        <v>353930</v>
      </c>
      <c r="B172" s="11" t="s">
        <v>175</v>
      </c>
      <c r="C172" s="8">
        <v>0</v>
      </c>
      <c r="D172" s="9">
        <v>1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3</v>
      </c>
      <c r="M172" s="9">
        <v>0</v>
      </c>
      <c r="N172" s="10">
        <f t="shared" si="0"/>
        <v>4</v>
      </c>
      <c r="O172" s="11">
        <v>76877</v>
      </c>
      <c r="P172" s="12">
        <f t="shared" si="1"/>
        <v>5.2031166668834636</v>
      </c>
    </row>
    <row r="173" spans="1:16" ht="14.25" customHeight="1">
      <c r="A173" s="11">
        <v>353950</v>
      </c>
      <c r="B173" s="11" t="s">
        <v>176</v>
      </c>
      <c r="C173" s="8">
        <v>1</v>
      </c>
      <c r="D173" s="9">
        <v>0</v>
      </c>
      <c r="E173" s="9">
        <v>1</v>
      </c>
      <c r="F173" s="9">
        <v>0</v>
      </c>
      <c r="G173" s="9">
        <v>1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10">
        <f t="shared" si="0"/>
        <v>3</v>
      </c>
      <c r="O173" s="11">
        <v>40080</v>
      </c>
      <c r="P173" s="12">
        <f t="shared" si="1"/>
        <v>7.4850299401197606</v>
      </c>
    </row>
    <row r="174" spans="1:16" ht="14.25" customHeight="1">
      <c r="A174" s="11">
        <v>354000</v>
      </c>
      <c r="B174" s="11" t="s">
        <v>177</v>
      </c>
      <c r="C174" s="8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6</v>
      </c>
      <c r="M174" s="9">
        <v>0</v>
      </c>
      <c r="N174" s="10">
        <f t="shared" si="0"/>
        <v>6</v>
      </c>
      <c r="O174" s="11">
        <v>22172</v>
      </c>
      <c r="P174" s="12">
        <f t="shared" si="1"/>
        <v>27.061158217571712</v>
      </c>
    </row>
    <row r="175" spans="1:16" ht="14.25" customHeight="1">
      <c r="A175" s="11">
        <v>354020</v>
      </c>
      <c r="B175" s="11" t="s">
        <v>178</v>
      </c>
      <c r="C175" s="8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1</v>
      </c>
      <c r="N175" s="10">
        <f t="shared" si="0"/>
        <v>1</v>
      </c>
      <c r="O175" s="11">
        <v>50852</v>
      </c>
      <c r="P175" s="12">
        <f t="shared" si="1"/>
        <v>1.9664909934712498</v>
      </c>
    </row>
    <row r="176" spans="1:16" ht="14.25" customHeight="1">
      <c r="A176" s="11">
        <v>354070</v>
      </c>
      <c r="B176" s="11" t="s">
        <v>179</v>
      </c>
      <c r="C176" s="8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4</v>
      </c>
      <c r="M176" s="9">
        <v>1</v>
      </c>
      <c r="N176" s="10">
        <f t="shared" si="0"/>
        <v>5</v>
      </c>
      <c r="O176" s="11">
        <v>56504</v>
      </c>
      <c r="P176" s="12">
        <f t="shared" si="1"/>
        <v>8.8489310491292663</v>
      </c>
    </row>
    <row r="177" spans="1:16" ht="14.25" customHeight="1">
      <c r="A177" s="11">
        <v>354090</v>
      </c>
      <c r="B177" s="11" t="s">
        <v>180</v>
      </c>
      <c r="C177" s="8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1</v>
      </c>
      <c r="M177" s="9">
        <v>1</v>
      </c>
      <c r="N177" s="10">
        <f t="shared" si="0"/>
        <v>2</v>
      </c>
      <c r="O177" s="11">
        <v>21873</v>
      </c>
      <c r="P177" s="12">
        <f t="shared" si="1"/>
        <v>9.1436931376582997</v>
      </c>
    </row>
    <row r="178" spans="1:16" ht="14.25" customHeight="1">
      <c r="A178" s="11">
        <v>354100</v>
      </c>
      <c r="B178" s="11" t="s">
        <v>181</v>
      </c>
      <c r="C178" s="8">
        <v>1</v>
      </c>
      <c r="D178" s="9">
        <v>0</v>
      </c>
      <c r="E178" s="9">
        <v>1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2</v>
      </c>
      <c r="M178" s="9">
        <v>1</v>
      </c>
      <c r="N178" s="10">
        <f t="shared" si="0"/>
        <v>5</v>
      </c>
      <c r="O178" s="11">
        <v>330845</v>
      </c>
      <c r="P178" s="12">
        <f t="shared" si="1"/>
        <v>1.5112817180250571</v>
      </c>
    </row>
    <row r="179" spans="1:16" ht="14.25" customHeight="1">
      <c r="A179" s="11">
        <v>354105</v>
      </c>
      <c r="B179" s="11" t="s">
        <v>182</v>
      </c>
      <c r="C179" s="8">
        <v>1</v>
      </c>
      <c r="D179" s="9">
        <v>1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10">
        <f t="shared" si="0"/>
        <v>2</v>
      </c>
      <c r="O179" s="11">
        <v>5317</v>
      </c>
      <c r="P179" s="12">
        <f t="shared" si="1"/>
        <v>37.615196539401921</v>
      </c>
    </row>
    <row r="180" spans="1:16" ht="14.25" customHeight="1">
      <c r="A180" s="11">
        <v>354140</v>
      </c>
      <c r="B180" s="11" t="s">
        <v>183</v>
      </c>
      <c r="C180" s="8">
        <v>1</v>
      </c>
      <c r="D180" s="9">
        <v>1</v>
      </c>
      <c r="E180" s="9">
        <v>1</v>
      </c>
      <c r="F180" s="9">
        <v>5</v>
      </c>
      <c r="G180" s="9">
        <v>1</v>
      </c>
      <c r="H180" s="9">
        <v>0</v>
      </c>
      <c r="I180" s="9">
        <v>1</v>
      </c>
      <c r="J180" s="9">
        <v>0</v>
      </c>
      <c r="K180" s="9">
        <v>0</v>
      </c>
      <c r="L180" s="9">
        <v>2</v>
      </c>
      <c r="M180" s="9">
        <v>1</v>
      </c>
      <c r="N180" s="10">
        <f t="shared" si="0"/>
        <v>13</v>
      </c>
      <c r="O180" s="11">
        <v>230371</v>
      </c>
      <c r="P180" s="12">
        <f t="shared" si="1"/>
        <v>5.6430713935347763</v>
      </c>
    </row>
    <row r="181" spans="1:16" ht="14.25" customHeight="1">
      <c r="A181" s="11">
        <v>354150</v>
      </c>
      <c r="B181" s="11" t="s">
        <v>184</v>
      </c>
      <c r="C181" s="8">
        <v>2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10">
        <f t="shared" si="0"/>
        <v>2</v>
      </c>
      <c r="O181" s="11">
        <v>39583</v>
      </c>
      <c r="P181" s="12">
        <f t="shared" si="1"/>
        <v>5.0526741277821285</v>
      </c>
    </row>
    <row r="182" spans="1:16" ht="14.25" customHeight="1">
      <c r="A182" s="11">
        <v>354220</v>
      </c>
      <c r="B182" s="11" t="s">
        <v>185</v>
      </c>
      <c r="C182" s="8">
        <v>3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2</v>
      </c>
      <c r="N182" s="10">
        <f t="shared" si="0"/>
        <v>5</v>
      </c>
      <c r="O182" s="11">
        <v>29726</v>
      </c>
      <c r="P182" s="12">
        <f t="shared" si="1"/>
        <v>16.820292000269124</v>
      </c>
    </row>
    <row r="183" spans="1:16" ht="14.25" customHeight="1">
      <c r="A183" s="11">
        <v>354230</v>
      </c>
      <c r="B183" s="11" t="s">
        <v>186</v>
      </c>
      <c r="C183" s="8">
        <v>1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10">
        <f t="shared" si="0"/>
        <v>1</v>
      </c>
      <c r="O183" s="11">
        <v>3839</v>
      </c>
      <c r="P183" s="12">
        <f t="shared" si="1"/>
        <v>26.048450117218025</v>
      </c>
    </row>
    <row r="184" spans="1:16" ht="14.25" customHeight="1">
      <c r="A184" s="11">
        <v>354240</v>
      </c>
      <c r="B184" s="11" t="s">
        <v>187</v>
      </c>
      <c r="C184" s="8">
        <v>0</v>
      </c>
      <c r="D184" s="9">
        <v>0</v>
      </c>
      <c r="E184" s="9">
        <v>0</v>
      </c>
      <c r="F184" s="9">
        <v>0</v>
      </c>
      <c r="G184" s="9">
        <v>1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10">
        <f t="shared" si="0"/>
        <v>1</v>
      </c>
      <c r="O184" s="11">
        <v>20394</v>
      </c>
      <c r="P184" s="12">
        <f t="shared" si="1"/>
        <v>4.9034029616553889</v>
      </c>
    </row>
    <row r="185" spans="1:16" ht="14.25" customHeight="1">
      <c r="A185" s="11">
        <v>354250</v>
      </c>
      <c r="B185" s="11" t="s">
        <v>188</v>
      </c>
      <c r="C185" s="8">
        <v>0</v>
      </c>
      <c r="D185" s="9">
        <v>0</v>
      </c>
      <c r="E185" s="9">
        <v>0</v>
      </c>
      <c r="F185" s="9">
        <v>1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10">
        <f t="shared" si="0"/>
        <v>1</v>
      </c>
      <c r="O185" s="11">
        <v>9837</v>
      </c>
      <c r="P185" s="12">
        <f t="shared" si="1"/>
        <v>10.165700925078784</v>
      </c>
    </row>
    <row r="186" spans="1:16" ht="14.25" customHeight="1">
      <c r="A186" s="11">
        <v>354260</v>
      </c>
      <c r="B186" s="11" t="s">
        <v>189</v>
      </c>
      <c r="C186" s="8">
        <v>0</v>
      </c>
      <c r="D186" s="9">
        <v>0</v>
      </c>
      <c r="E186" s="9">
        <v>1</v>
      </c>
      <c r="F186" s="9">
        <v>5</v>
      </c>
      <c r="G186" s="9">
        <v>1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10">
        <f t="shared" si="0"/>
        <v>7</v>
      </c>
      <c r="O186" s="11">
        <v>56393</v>
      </c>
      <c r="P186" s="12">
        <f t="shared" si="1"/>
        <v>12.412888124412605</v>
      </c>
    </row>
    <row r="187" spans="1:16" ht="14.25" customHeight="1">
      <c r="A187" s="11">
        <v>354330</v>
      </c>
      <c r="B187" s="11" t="s">
        <v>190</v>
      </c>
      <c r="C187" s="8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1</v>
      </c>
      <c r="M187" s="9">
        <v>0</v>
      </c>
      <c r="N187" s="10">
        <f t="shared" si="0"/>
        <v>1</v>
      </c>
      <c r="O187" s="11">
        <v>124491</v>
      </c>
      <c r="P187" s="12">
        <f t="shared" si="1"/>
        <v>0.80327091918291282</v>
      </c>
    </row>
    <row r="188" spans="1:16" ht="14.25" customHeight="1">
      <c r="A188" s="11">
        <v>354340</v>
      </c>
      <c r="B188" s="11" t="s">
        <v>191</v>
      </c>
      <c r="C188" s="8">
        <v>33</v>
      </c>
      <c r="D188" s="9">
        <v>7</v>
      </c>
      <c r="E188" s="9">
        <v>15</v>
      </c>
      <c r="F188" s="9">
        <v>12</v>
      </c>
      <c r="G188" s="9">
        <v>17</v>
      </c>
      <c r="H188" s="9">
        <v>2</v>
      </c>
      <c r="I188" s="9">
        <v>0</v>
      </c>
      <c r="J188" s="9">
        <v>0</v>
      </c>
      <c r="K188" s="9">
        <v>0</v>
      </c>
      <c r="L188" s="9">
        <v>91</v>
      </c>
      <c r="M188" s="9">
        <v>29</v>
      </c>
      <c r="N188" s="10">
        <f t="shared" si="0"/>
        <v>206</v>
      </c>
      <c r="O188" s="11">
        <v>711825</v>
      </c>
      <c r="P188" s="12">
        <f t="shared" si="1"/>
        <v>28.93969725705054</v>
      </c>
    </row>
    <row r="189" spans="1:16" ht="14.25" customHeight="1">
      <c r="A189" s="11">
        <v>354370</v>
      </c>
      <c r="B189" s="11" t="s">
        <v>192</v>
      </c>
      <c r="C189" s="8">
        <v>1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10">
        <f t="shared" si="0"/>
        <v>1</v>
      </c>
      <c r="O189" s="11">
        <v>10812</v>
      </c>
      <c r="P189" s="12">
        <f t="shared" si="1"/>
        <v>9.2489826119126892</v>
      </c>
    </row>
    <row r="190" spans="1:16" ht="14.25" customHeight="1">
      <c r="A190" s="11">
        <v>354390</v>
      </c>
      <c r="B190" s="11" t="s">
        <v>193</v>
      </c>
      <c r="C190" s="8">
        <v>2</v>
      </c>
      <c r="D190" s="9">
        <v>0</v>
      </c>
      <c r="E190" s="9">
        <v>1</v>
      </c>
      <c r="F190" s="9">
        <v>1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1</v>
      </c>
      <c r="M190" s="9">
        <v>0</v>
      </c>
      <c r="N190" s="10">
        <f t="shared" si="0"/>
        <v>5</v>
      </c>
      <c r="O190" s="11">
        <v>208008</v>
      </c>
      <c r="P190" s="12">
        <f t="shared" si="1"/>
        <v>2.4037537017807007</v>
      </c>
    </row>
    <row r="191" spans="1:16" ht="14.25" customHeight="1">
      <c r="A191" s="11">
        <v>354400</v>
      </c>
      <c r="B191" s="11" t="s">
        <v>194</v>
      </c>
      <c r="C191" s="8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</v>
      </c>
      <c r="N191" s="10">
        <f t="shared" si="0"/>
        <v>1</v>
      </c>
      <c r="O191" s="11">
        <v>35738</v>
      </c>
      <c r="P191" s="12">
        <f t="shared" si="1"/>
        <v>2.7981420336896301</v>
      </c>
    </row>
    <row r="192" spans="1:16" ht="14.25" customHeight="1">
      <c r="A192" s="11">
        <v>354410</v>
      </c>
      <c r="B192" s="11" t="s">
        <v>195</v>
      </c>
      <c r="C192" s="8">
        <v>0</v>
      </c>
      <c r="D192" s="9">
        <v>0</v>
      </c>
      <c r="E192" s="9">
        <v>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10">
        <f t="shared" si="0"/>
        <v>1</v>
      </c>
      <c r="O192" s="11">
        <v>51436</v>
      </c>
      <c r="P192" s="12">
        <f t="shared" si="1"/>
        <v>1.9441636208103275</v>
      </c>
    </row>
    <row r="193" spans="1:16" ht="14.25" customHeight="1">
      <c r="A193" s="11">
        <v>354420</v>
      </c>
      <c r="B193" s="11" t="s">
        <v>196</v>
      </c>
      <c r="C193" s="8">
        <v>0</v>
      </c>
      <c r="D193" s="9">
        <v>0</v>
      </c>
      <c r="E193" s="9">
        <v>0</v>
      </c>
      <c r="F193" s="9">
        <v>1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10">
        <f t="shared" si="0"/>
        <v>1</v>
      </c>
      <c r="O193" s="11">
        <v>12689</v>
      </c>
      <c r="P193" s="12">
        <f t="shared" si="1"/>
        <v>7.8808416738907718</v>
      </c>
    </row>
    <row r="194" spans="1:16" ht="14.25" customHeight="1">
      <c r="A194" s="11">
        <v>354425</v>
      </c>
      <c r="B194" s="11" t="s">
        <v>197</v>
      </c>
      <c r="C194" s="8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1</v>
      </c>
      <c r="N194" s="10">
        <f t="shared" si="0"/>
        <v>1</v>
      </c>
      <c r="O194" s="11">
        <v>16281</v>
      </c>
      <c r="P194" s="12">
        <f t="shared" si="1"/>
        <v>6.1421288618635224</v>
      </c>
    </row>
    <row r="195" spans="1:16" ht="14.25" customHeight="1">
      <c r="A195" s="11">
        <v>354450</v>
      </c>
      <c r="B195" s="11" t="s">
        <v>198</v>
      </c>
      <c r="C195" s="8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1</v>
      </c>
      <c r="N195" s="10">
        <f t="shared" si="0"/>
        <v>1</v>
      </c>
      <c r="O195" s="11">
        <v>3170</v>
      </c>
      <c r="P195" s="12">
        <f t="shared" si="1"/>
        <v>31.545741324921138</v>
      </c>
    </row>
    <row r="196" spans="1:16" ht="14.25" customHeight="1">
      <c r="A196" s="11">
        <v>354480</v>
      </c>
      <c r="B196" s="11" t="s">
        <v>199</v>
      </c>
      <c r="C196" s="8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1</v>
      </c>
      <c r="M196" s="9">
        <v>0</v>
      </c>
      <c r="N196" s="10">
        <f t="shared" si="0"/>
        <v>1</v>
      </c>
      <c r="O196" s="11">
        <v>6407</v>
      </c>
      <c r="P196" s="12">
        <f t="shared" si="1"/>
        <v>15.607928827844546</v>
      </c>
    </row>
    <row r="197" spans="1:16" ht="14.25" customHeight="1">
      <c r="A197" s="11">
        <v>354490</v>
      </c>
      <c r="B197" s="11" t="s">
        <v>200</v>
      </c>
      <c r="C197" s="8">
        <v>1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2</v>
      </c>
      <c r="N197" s="10">
        <f t="shared" si="0"/>
        <v>3</v>
      </c>
      <c r="O197" s="11">
        <v>11998</v>
      </c>
      <c r="P197" s="12">
        <f t="shared" si="1"/>
        <v>25.004167361226873</v>
      </c>
    </row>
    <row r="198" spans="1:16" ht="14.25" customHeight="1">
      <c r="A198" s="11">
        <v>354520</v>
      </c>
      <c r="B198" s="11" t="s">
        <v>201</v>
      </c>
      <c r="C198" s="8">
        <v>2</v>
      </c>
      <c r="D198" s="9">
        <v>2</v>
      </c>
      <c r="E198" s="9">
        <v>0</v>
      </c>
      <c r="F198" s="9">
        <v>0</v>
      </c>
      <c r="G198" s="9">
        <v>1</v>
      </c>
      <c r="H198" s="9">
        <v>0</v>
      </c>
      <c r="I198" s="9">
        <v>0</v>
      </c>
      <c r="J198" s="9">
        <v>0</v>
      </c>
      <c r="K198" s="9">
        <v>0</v>
      </c>
      <c r="L198" s="9">
        <v>5</v>
      </c>
      <c r="M198" s="9">
        <v>3</v>
      </c>
      <c r="N198" s="10">
        <f t="shared" si="0"/>
        <v>13</v>
      </c>
      <c r="O198" s="11">
        <v>119736</v>
      </c>
      <c r="P198" s="12">
        <f t="shared" si="1"/>
        <v>10.857219215607669</v>
      </c>
    </row>
    <row r="199" spans="1:16" ht="14.25" customHeight="1">
      <c r="A199" s="11">
        <v>354530</v>
      </c>
      <c r="B199" s="11" t="s">
        <v>202</v>
      </c>
      <c r="C199" s="8">
        <v>0</v>
      </c>
      <c r="D199" s="9">
        <v>0</v>
      </c>
      <c r="E199" s="9">
        <v>1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10">
        <f t="shared" si="0"/>
        <v>1</v>
      </c>
      <c r="O199" s="11">
        <v>45860</v>
      </c>
      <c r="P199" s="12">
        <f t="shared" si="1"/>
        <v>2.1805494984736153</v>
      </c>
    </row>
    <row r="200" spans="1:16" ht="14.25" customHeight="1">
      <c r="A200" s="11">
        <v>354550</v>
      </c>
      <c r="B200" s="11" t="s">
        <v>203</v>
      </c>
      <c r="C200" s="8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1</v>
      </c>
      <c r="J200" s="9">
        <v>0</v>
      </c>
      <c r="K200" s="9">
        <v>0</v>
      </c>
      <c r="L200" s="9">
        <v>0</v>
      </c>
      <c r="M200" s="9">
        <v>0</v>
      </c>
      <c r="N200" s="10">
        <f t="shared" si="0"/>
        <v>1</v>
      </c>
      <c r="O200" s="11">
        <v>4354</v>
      </c>
      <c r="P200" s="12">
        <f t="shared" si="1"/>
        <v>22.967386311437757</v>
      </c>
    </row>
    <row r="201" spans="1:16" ht="14.25" customHeight="1">
      <c r="A201" s="11">
        <v>354580</v>
      </c>
      <c r="B201" s="11" t="s">
        <v>204</v>
      </c>
      <c r="C201" s="8">
        <v>0</v>
      </c>
      <c r="D201" s="9">
        <v>2</v>
      </c>
      <c r="E201" s="9">
        <v>0</v>
      </c>
      <c r="F201" s="9">
        <v>1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4</v>
      </c>
      <c r="M201" s="9">
        <v>2</v>
      </c>
      <c r="N201" s="10">
        <f t="shared" si="0"/>
        <v>9</v>
      </c>
      <c r="O201" s="11">
        <v>194390</v>
      </c>
      <c r="P201" s="12">
        <f t="shared" si="1"/>
        <v>4.6298677915530631</v>
      </c>
    </row>
    <row r="202" spans="1:16" ht="14.25" customHeight="1">
      <c r="A202" s="11">
        <v>354640</v>
      </c>
      <c r="B202" s="11" t="s">
        <v>205</v>
      </c>
      <c r="C202" s="8">
        <v>0</v>
      </c>
      <c r="D202" s="9">
        <v>1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10">
        <f t="shared" si="0"/>
        <v>1</v>
      </c>
      <c r="O202" s="11">
        <v>47943</v>
      </c>
      <c r="P202" s="12">
        <f t="shared" si="1"/>
        <v>2.0858102329850032</v>
      </c>
    </row>
    <row r="203" spans="1:16" ht="14.25" customHeight="1">
      <c r="A203" s="11">
        <v>354650</v>
      </c>
      <c r="B203" s="11" t="s">
        <v>206</v>
      </c>
      <c r="C203" s="8">
        <v>0</v>
      </c>
      <c r="D203" s="9">
        <v>0</v>
      </c>
      <c r="E203" s="9">
        <v>0</v>
      </c>
      <c r="F203" s="9">
        <v>1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1</v>
      </c>
      <c r="M203" s="9">
        <v>0</v>
      </c>
      <c r="N203" s="10">
        <f t="shared" si="0"/>
        <v>2</v>
      </c>
      <c r="O203" s="11">
        <v>5588</v>
      </c>
      <c r="P203" s="12">
        <f t="shared" si="1"/>
        <v>35.790980672870432</v>
      </c>
    </row>
    <row r="204" spans="1:16" ht="14.25" customHeight="1">
      <c r="A204" s="11">
        <v>354670</v>
      </c>
      <c r="B204" s="11" t="s">
        <v>207</v>
      </c>
      <c r="C204" s="8">
        <v>2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10">
        <f t="shared" si="0"/>
        <v>2</v>
      </c>
      <c r="O204" s="11">
        <v>27381</v>
      </c>
      <c r="P204" s="12">
        <f t="shared" si="1"/>
        <v>7.3043351228954378</v>
      </c>
    </row>
    <row r="205" spans="1:16" ht="14.25" customHeight="1">
      <c r="A205" s="11">
        <v>354680</v>
      </c>
      <c r="B205" s="11" t="s">
        <v>208</v>
      </c>
      <c r="C205" s="8">
        <v>1</v>
      </c>
      <c r="D205" s="9">
        <v>0</v>
      </c>
      <c r="E205" s="9">
        <v>1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10">
        <f t="shared" si="0"/>
        <v>2</v>
      </c>
      <c r="O205" s="11">
        <v>57966</v>
      </c>
      <c r="P205" s="12">
        <f t="shared" si="1"/>
        <v>3.4502984508159957</v>
      </c>
    </row>
    <row r="206" spans="1:16" ht="14.25" customHeight="1">
      <c r="A206" s="11">
        <v>354710</v>
      </c>
      <c r="B206" s="11" t="s">
        <v>209</v>
      </c>
      <c r="C206" s="8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1</v>
      </c>
      <c r="M206" s="9">
        <v>0</v>
      </c>
      <c r="N206" s="10">
        <f t="shared" si="0"/>
        <v>1</v>
      </c>
      <c r="O206" s="11">
        <v>2943</v>
      </c>
      <c r="P206" s="12">
        <f t="shared" si="1"/>
        <v>33.97893306150187</v>
      </c>
    </row>
    <row r="207" spans="1:16" ht="14.25" customHeight="1">
      <c r="A207" s="11">
        <v>354730</v>
      </c>
      <c r="B207" s="11" t="s">
        <v>210</v>
      </c>
      <c r="C207" s="8">
        <v>1</v>
      </c>
      <c r="D207" s="9">
        <v>1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4</v>
      </c>
      <c r="M207" s="9">
        <v>2</v>
      </c>
      <c r="N207" s="10">
        <f t="shared" si="0"/>
        <v>8</v>
      </c>
      <c r="O207" s="11">
        <v>142301</v>
      </c>
      <c r="P207" s="12">
        <f t="shared" si="1"/>
        <v>5.6218860022065904</v>
      </c>
    </row>
    <row r="208" spans="1:16" ht="14.25" customHeight="1">
      <c r="A208" s="11">
        <v>354760</v>
      </c>
      <c r="B208" s="11" t="s">
        <v>211</v>
      </c>
      <c r="C208" s="8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3</v>
      </c>
      <c r="M208" s="9">
        <v>0</v>
      </c>
      <c r="N208" s="10">
        <f t="shared" si="0"/>
        <v>3</v>
      </c>
      <c r="O208" s="11">
        <v>26753</v>
      </c>
      <c r="P208" s="12">
        <f t="shared" si="1"/>
        <v>11.213695660299779</v>
      </c>
    </row>
    <row r="209" spans="1:16" ht="14.25" customHeight="1">
      <c r="A209" s="11">
        <v>354780</v>
      </c>
      <c r="B209" s="11" t="s">
        <v>212</v>
      </c>
      <c r="C209" s="8">
        <v>4</v>
      </c>
      <c r="D209" s="9">
        <v>0</v>
      </c>
      <c r="E209" s="9">
        <v>0</v>
      </c>
      <c r="F209" s="9">
        <v>0</v>
      </c>
      <c r="G209" s="9">
        <v>2</v>
      </c>
      <c r="H209" s="9">
        <v>0</v>
      </c>
      <c r="I209" s="9">
        <v>0</v>
      </c>
      <c r="J209" s="9">
        <v>0</v>
      </c>
      <c r="K209" s="9">
        <v>2</v>
      </c>
      <c r="L209" s="9">
        <v>7</v>
      </c>
      <c r="M209" s="9">
        <v>3</v>
      </c>
      <c r="N209" s="10">
        <f t="shared" si="0"/>
        <v>18</v>
      </c>
      <c r="O209" s="11">
        <v>721368</v>
      </c>
      <c r="P209" s="12">
        <f t="shared" si="1"/>
        <v>2.4952590078850183</v>
      </c>
    </row>
    <row r="210" spans="1:16" ht="14.25" customHeight="1">
      <c r="A210" s="11">
        <v>354820</v>
      </c>
      <c r="B210" s="11" t="s">
        <v>213</v>
      </c>
      <c r="C210" s="8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1</v>
      </c>
      <c r="K210" s="9">
        <v>0</v>
      </c>
      <c r="L210" s="9">
        <v>0</v>
      </c>
      <c r="M210" s="9">
        <v>0</v>
      </c>
      <c r="N210" s="10">
        <f t="shared" si="0"/>
        <v>1</v>
      </c>
      <c r="O210" s="11">
        <v>6827</v>
      </c>
      <c r="P210" s="12">
        <f t="shared" si="1"/>
        <v>14.647722279185587</v>
      </c>
    </row>
    <row r="211" spans="1:16" ht="14.25" customHeight="1">
      <c r="A211" s="11">
        <v>354850</v>
      </c>
      <c r="B211" s="11" t="s">
        <v>214</v>
      </c>
      <c r="C211" s="8">
        <v>11</v>
      </c>
      <c r="D211" s="9">
        <v>2</v>
      </c>
      <c r="E211" s="9">
        <v>3</v>
      </c>
      <c r="F211" s="9">
        <v>2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8</v>
      </c>
      <c r="M211" s="9">
        <v>2</v>
      </c>
      <c r="N211" s="10">
        <f t="shared" si="0"/>
        <v>28</v>
      </c>
      <c r="O211" s="11">
        <v>433656</v>
      </c>
      <c r="P211" s="12">
        <f t="shared" si="1"/>
        <v>6.4567306805394136</v>
      </c>
    </row>
    <row r="212" spans="1:16" ht="14.25" customHeight="1">
      <c r="A212" s="11">
        <v>354870</v>
      </c>
      <c r="B212" s="11" t="s">
        <v>215</v>
      </c>
      <c r="C212" s="8">
        <v>5</v>
      </c>
      <c r="D212" s="9">
        <v>1</v>
      </c>
      <c r="E212" s="9">
        <v>5</v>
      </c>
      <c r="F212" s="9">
        <v>11</v>
      </c>
      <c r="G212" s="9">
        <v>1</v>
      </c>
      <c r="H212" s="9">
        <v>0</v>
      </c>
      <c r="I212" s="9">
        <v>0</v>
      </c>
      <c r="J212" s="9">
        <v>0</v>
      </c>
      <c r="K212" s="9">
        <v>0</v>
      </c>
      <c r="L212" s="9">
        <v>12</v>
      </c>
      <c r="M212" s="9">
        <v>2</v>
      </c>
      <c r="N212" s="10">
        <f t="shared" si="0"/>
        <v>37</v>
      </c>
      <c r="O212" s="11">
        <v>844483</v>
      </c>
      <c r="P212" s="12">
        <f t="shared" si="1"/>
        <v>4.3813789028316732</v>
      </c>
    </row>
    <row r="213" spans="1:16" ht="14.25" customHeight="1">
      <c r="A213" s="11">
        <v>354880</v>
      </c>
      <c r="B213" s="11" t="s">
        <v>216</v>
      </c>
      <c r="C213" s="8">
        <v>1</v>
      </c>
      <c r="D213" s="9">
        <v>0</v>
      </c>
      <c r="E213" s="9">
        <v>0</v>
      </c>
      <c r="F213" s="9">
        <v>3</v>
      </c>
      <c r="G213" s="9">
        <v>1</v>
      </c>
      <c r="H213" s="9">
        <v>0</v>
      </c>
      <c r="I213" s="9">
        <v>0</v>
      </c>
      <c r="J213" s="9">
        <v>0</v>
      </c>
      <c r="K213" s="9">
        <v>0</v>
      </c>
      <c r="L213" s="9">
        <v>11</v>
      </c>
      <c r="M213" s="9">
        <v>2</v>
      </c>
      <c r="N213" s="10">
        <f t="shared" si="0"/>
        <v>18</v>
      </c>
      <c r="O213" s="11">
        <v>161957</v>
      </c>
      <c r="P213" s="12">
        <f t="shared" si="1"/>
        <v>11.114061139685225</v>
      </c>
    </row>
    <row r="214" spans="1:16" ht="14.25" customHeight="1">
      <c r="A214" s="11">
        <v>354890</v>
      </c>
      <c r="B214" s="11" t="s">
        <v>217</v>
      </c>
      <c r="C214" s="8">
        <v>2</v>
      </c>
      <c r="D214" s="9">
        <v>6</v>
      </c>
      <c r="E214" s="9">
        <v>0</v>
      </c>
      <c r="F214" s="9">
        <v>0</v>
      </c>
      <c r="G214" s="9">
        <v>2</v>
      </c>
      <c r="H214" s="9">
        <v>0</v>
      </c>
      <c r="I214" s="9">
        <v>0</v>
      </c>
      <c r="J214" s="9">
        <v>0</v>
      </c>
      <c r="K214" s="9">
        <v>1</v>
      </c>
      <c r="L214" s="9">
        <v>8</v>
      </c>
      <c r="M214" s="9">
        <v>2</v>
      </c>
      <c r="N214" s="10">
        <f t="shared" si="0"/>
        <v>21</v>
      </c>
      <c r="O214" s="11">
        <v>254484</v>
      </c>
      <c r="P214" s="12">
        <f t="shared" si="1"/>
        <v>8.2519922667043897</v>
      </c>
    </row>
    <row r="215" spans="1:16" ht="14.25" customHeight="1">
      <c r="A215" s="11">
        <v>354910</v>
      </c>
      <c r="B215" s="11" t="s">
        <v>218</v>
      </c>
      <c r="C215" s="8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17</v>
      </c>
      <c r="M215" s="9">
        <v>1</v>
      </c>
      <c r="N215" s="10">
        <f t="shared" si="0"/>
        <v>18</v>
      </c>
      <c r="O215" s="11">
        <v>91771</v>
      </c>
      <c r="P215" s="12">
        <f t="shared" si="1"/>
        <v>19.61403929345872</v>
      </c>
    </row>
    <row r="216" spans="1:16" ht="14.25" customHeight="1">
      <c r="A216" s="11">
        <v>354940</v>
      </c>
      <c r="B216" s="11" t="s">
        <v>219</v>
      </c>
      <c r="C216" s="8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1</v>
      </c>
      <c r="M216" s="9">
        <v>0</v>
      </c>
      <c r="N216" s="10">
        <f t="shared" si="0"/>
        <v>1</v>
      </c>
      <c r="O216" s="11">
        <v>52319</v>
      </c>
      <c r="P216" s="12">
        <f t="shared" si="1"/>
        <v>1.9113515166574284</v>
      </c>
    </row>
    <row r="217" spans="1:16" ht="14.25" customHeight="1">
      <c r="A217" s="11">
        <v>354960</v>
      </c>
      <c r="B217" s="11" t="s">
        <v>220</v>
      </c>
      <c r="C217" s="8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</v>
      </c>
      <c r="M217" s="9">
        <v>0</v>
      </c>
      <c r="N217" s="10">
        <f t="shared" si="0"/>
        <v>1</v>
      </c>
      <c r="O217" s="11">
        <v>4144</v>
      </c>
      <c r="P217" s="12">
        <f t="shared" si="1"/>
        <v>24.131274131274132</v>
      </c>
    </row>
    <row r="218" spans="1:16" ht="14.25" customHeight="1">
      <c r="A218" s="11">
        <v>354980</v>
      </c>
      <c r="B218" s="11" t="s">
        <v>221</v>
      </c>
      <c r="C218" s="8">
        <v>3</v>
      </c>
      <c r="D218" s="9">
        <v>3</v>
      </c>
      <c r="E218" s="9">
        <v>7</v>
      </c>
      <c r="F218" s="9">
        <v>14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8</v>
      </c>
      <c r="M218" s="9">
        <v>0</v>
      </c>
      <c r="N218" s="10">
        <f t="shared" si="0"/>
        <v>35</v>
      </c>
      <c r="O218" s="11">
        <v>464983</v>
      </c>
      <c r="P218" s="12">
        <f t="shared" si="1"/>
        <v>7.5271569068116477</v>
      </c>
    </row>
    <row r="219" spans="1:16" ht="14.25" customHeight="1">
      <c r="A219" s="11">
        <v>354990</v>
      </c>
      <c r="B219" s="11" t="s">
        <v>222</v>
      </c>
      <c r="C219" s="8">
        <v>6</v>
      </c>
      <c r="D219" s="9">
        <v>6</v>
      </c>
      <c r="E219" s="9">
        <v>10</v>
      </c>
      <c r="F219" s="9">
        <v>14</v>
      </c>
      <c r="G219" s="9">
        <v>7</v>
      </c>
      <c r="H219" s="9">
        <v>1</v>
      </c>
      <c r="I219" s="9">
        <v>0</v>
      </c>
      <c r="J219" s="9">
        <v>1</v>
      </c>
      <c r="K219" s="9">
        <v>0</v>
      </c>
      <c r="L219" s="9">
        <v>18</v>
      </c>
      <c r="M219" s="9">
        <v>7</v>
      </c>
      <c r="N219" s="10">
        <f t="shared" si="0"/>
        <v>70</v>
      </c>
      <c r="O219" s="11">
        <v>729737</v>
      </c>
      <c r="P219" s="12">
        <f t="shared" si="1"/>
        <v>9.5924970229000319</v>
      </c>
    </row>
    <row r="220" spans="1:16" ht="14.25" customHeight="1">
      <c r="A220" s="11">
        <v>355030</v>
      </c>
      <c r="B220" s="11" t="s">
        <v>223</v>
      </c>
      <c r="C220" s="8">
        <v>174</v>
      </c>
      <c r="D220" s="9">
        <v>66</v>
      </c>
      <c r="E220" s="9">
        <v>134</v>
      </c>
      <c r="F220" s="9">
        <v>124</v>
      </c>
      <c r="G220" s="9">
        <v>22</v>
      </c>
      <c r="H220" s="9">
        <v>14</v>
      </c>
      <c r="I220" s="9">
        <v>6</v>
      </c>
      <c r="J220" s="9">
        <v>2</v>
      </c>
      <c r="K220" s="9">
        <v>17</v>
      </c>
      <c r="L220" s="9">
        <v>910</v>
      </c>
      <c r="M220" s="9">
        <v>155</v>
      </c>
      <c r="N220" s="10">
        <f t="shared" si="0"/>
        <v>1624</v>
      </c>
      <c r="O220" s="11">
        <v>12325232</v>
      </c>
      <c r="P220" s="12">
        <f t="shared" si="1"/>
        <v>13.176222565222302</v>
      </c>
    </row>
    <row r="221" spans="1:16" ht="14.25" customHeight="1">
      <c r="A221" s="11">
        <v>355040</v>
      </c>
      <c r="B221" s="11" t="s">
        <v>224</v>
      </c>
      <c r="C221" s="8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1</v>
      </c>
      <c r="L221" s="9">
        <v>1</v>
      </c>
      <c r="M221" s="9">
        <v>0</v>
      </c>
      <c r="N221" s="10">
        <f t="shared" si="0"/>
        <v>2</v>
      </c>
      <c r="O221" s="11">
        <v>35980</v>
      </c>
      <c r="P221" s="12">
        <f t="shared" si="1"/>
        <v>5.5586436909394106</v>
      </c>
    </row>
    <row r="222" spans="1:16" ht="14.25" customHeight="1">
      <c r="A222" s="11">
        <v>355050</v>
      </c>
      <c r="B222" s="11" t="s">
        <v>225</v>
      </c>
      <c r="C222" s="8">
        <v>0</v>
      </c>
      <c r="D222" s="9">
        <v>0</v>
      </c>
      <c r="E222" s="9">
        <v>0</v>
      </c>
      <c r="F222" s="9">
        <v>0</v>
      </c>
      <c r="G222" s="9">
        <v>1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10">
        <f t="shared" si="0"/>
        <v>1</v>
      </c>
      <c r="O222" s="11">
        <v>7696</v>
      </c>
      <c r="P222" s="12">
        <f t="shared" si="1"/>
        <v>12.993762993762994</v>
      </c>
    </row>
    <row r="223" spans="1:16" ht="14.25" customHeight="1">
      <c r="A223" s="11">
        <v>355060</v>
      </c>
      <c r="B223" s="11" t="s">
        <v>226</v>
      </c>
      <c r="C223" s="8">
        <v>1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2</v>
      </c>
      <c r="J223" s="9">
        <v>0</v>
      </c>
      <c r="K223" s="9">
        <v>0</v>
      </c>
      <c r="L223" s="9">
        <v>0</v>
      </c>
      <c r="M223" s="9">
        <v>0</v>
      </c>
      <c r="N223" s="10">
        <f t="shared" si="0"/>
        <v>3</v>
      </c>
      <c r="O223" s="11">
        <v>92060</v>
      </c>
      <c r="P223" s="12">
        <f t="shared" si="1"/>
        <v>3.25874429719748</v>
      </c>
    </row>
    <row r="224" spans="1:16" ht="14.25" customHeight="1">
      <c r="A224" s="11">
        <v>355070</v>
      </c>
      <c r="B224" s="11" t="s">
        <v>227</v>
      </c>
      <c r="C224" s="8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</v>
      </c>
      <c r="M224" s="9">
        <v>0</v>
      </c>
      <c r="N224" s="10">
        <f t="shared" si="0"/>
        <v>1</v>
      </c>
      <c r="O224" s="11">
        <v>90328</v>
      </c>
      <c r="P224" s="12">
        <f t="shared" si="1"/>
        <v>1.1070764325569036</v>
      </c>
    </row>
    <row r="225" spans="1:16" ht="14.25" customHeight="1">
      <c r="A225" s="11">
        <v>355090</v>
      </c>
      <c r="B225" s="11" t="s">
        <v>228</v>
      </c>
      <c r="C225" s="8">
        <v>4</v>
      </c>
      <c r="D225" s="9">
        <v>0</v>
      </c>
      <c r="E225" s="9">
        <v>1</v>
      </c>
      <c r="F225" s="9">
        <v>0</v>
      </c>
      <c r="G225" s="9">
        <v>1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10">
        <f t="shared" si="0"/>
        <v>6</v>
      </c>
      <c r="O225" s="11">
        <v>15385</v>
      </c>
      <c r="P225" s="12">
        <f t="shared" si="1"/>
        <v>38.99902502437439</v>
      </c>
    </row>
    <row r="226" spans="1:16" ht="14.25" customHeight="1">
      <c r="A226" s="11">
        <v>355100</v>
      </c>
      <c r="B226" s="11" t="s">
        <v>229</v>
      </c>
      <c r="C226" s="8">
        <v>1</v>
      </c>
      <c r="D226" s="9">
        <v>0</v>
      </c>
      <c r="E226" s="9">
        <v>1</v>
      </c>
      <c r="F226" s="9">
        <v>2</v>
      </c>
      <c r="G226" s="9">
        <v>1</v>
      </c>
      <c r="H226" s="9">
        <v>0</v>
      </c>
      <c r="I226" s="9">
        <v>0</v>
      </c>
      <c r="J226" s="9">
        <v>0</v>
      </c>
      <c r="K226" s="9">
        <v>0</v>
      </c>
      <c r="L226" s="9">
        <v>4</v>
      </c>
      <c r="M226" s="9">
        <v>0</v>
      </c>
      <c r="N226" s="10">
        <f t="shared" si="0"/>
        <v>9</v>
      </c>
      <c r="O226" s="11">
        <v>368355</v>
      </c>
      <c r="P226" s="12">
        <f t="shared" si="1"/>
        <v>2.4432951907806331</v>
      </c>
    </row>
    <row r="227" spans="1:16" ht="14.25" customHeight="1">
      <c r="A227" s="11">
        <v>355150</v>
      </c>
      <c r="B227" s="11" t="s">
        <v>230</v>
      </c>
      <c r="C227" s="8">
        <v>0</v>
      </c>
      <c r="D227" s="9">
        <v>0</v>
      </c>
      <c r="E227" s="9">
        <v>1</v>
      </c>
      <c r="F227" s="9">
        <v>1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1</v>
      </c>
      <c r="M227" s="9">
        <v>0</v>
      </c>
      <c r="N227" s="10">
        <f t="shared" si="0"/>
        <v>3</v>
      </c>
      <c r="O227" s="11">
        <v>45644</v>
      </c>
      <c r="P227" s="12">
        <f t="shared" si="1"/>
        <v>6.5726053807729379</v>
      </c>
    </row>
    <row r="228" spans="1:16" ht="14.25" customHeight="1">
      <c r="A228" s="11">
        <v>355160</v>
      </c>
      <c r="B228" s="11" t="s">
        <v>231</v>
      </c>
      <c r="C228" s="8">
        <v>0</v>
      </c>
      <c r="D228" s="9">
        <v>0</v>
      </c>
      <c r="E228" s="9">
        <v>2</v>
      </c>
      <c r="F228" s="9">
        <v>1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10">
        <f t="shared" si="0"/>
        <v>3</v>
      </c>
      <c r="O228" s="11">
        <v>29452</v>
      </c>
      <c r="P228" s="12">
        <f t="shared" si="1"/>
        <v>10.186065462447372</v>
      </c>
    </row>
    <row r="229" spans="1:16" ht="14.25" customHeight="1">
      <c r="A229" s="11">
        <v>355170</v>
      </c>
      <c r="B229" s="11" t="s">
        <v>232</v>
      </c>
      <c r="C229" s="8">
        <v>3</v>
      </c>
      <c r="D229" s="9">
        <v>0</v>
      </c>
      <c r="E229" s="9">
        <v>1</v>
      </c>
      <c r="F229" s="9">
        <v>11</v>
      </c>
      <c r="G229" s="9">
        <v>1</v>
      </c>
      <c r="H229" s="9">
        <v>0</v>
      </c>
      <c r="I229" s="9">
        <v>0</v>
      </c>
      <c r="J229" s="9">
        <v>0</v>
      </c>
      <c r="K229" s="9">
        <v>0</v>
      </c>
      <c r="L229" s="9">
        <v>13</v>
      </c>
      <c r="M229" s="9">
        <v>1</v>
      </c>
      <c r="N229" s="10">
        <f t="shared" si="0"/>
        <v>30</v>
      </c>
      <c r="O229" s="11">
        <v>127142</v>
      </c>
      <c r="P229" s="12">
        <f t="shared" si="1"/>
        <v>23.595664689874312</v>
      </c>
    </row>
    <row r="230" spans="1:16" ht="14.25" customHeight="1">
      <c r="A230" s="11">
        <v>355180</v>
      </c>
      <c r="B230" s="11" t="s">
        <v>233</v>
      </c>
      <c r="C230" s="8">
        <v>0</v>
      </c>
      <c r="D230" s="9">
        <v>0</v>
      </c>
      <c r="E230" s="9">
        <v>1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10">
        <f t="shared" si="0"/>
        <v>1</v>
      </c>
      <c r="O230" s="11">
        <v>12780</v>
      </c>
      <c r="P230" s="12">
        <f t="shared" si="1"/>
        <v>7.8247261345852888</v>
      </c>
    </row>
    <row r="231" spans="1:16" ht="14.25" customHeight="1">
      <c r="A231" s="11">
        <v>355210</v>
      </c>
      <c r="B231" s="11" t="s">
        <v>234</v>
      </c>
      <c r="C231" s="8">
        <v>14</v>
      </c>
      <c r="D231" s="9">
        <v>1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10">
        <f t="shared" si="0"/>
        <v>15</v>
      </c>
      <c r="O231" s="11">
        <v>41352</v>
      </c>
      <c r="P231" s="12">
        <f t="shared" si="1"/>
        <v>36.273940800928614</v>
      </c>
    </row>
    <row r="232" spans="1:16" ht="14.25" customHeight="1">
      <c r="A232" s="11">
        <v>355220</v>
      </c>
      <c r="B232" s="11" t="s">
        <v>235</v>
      </c>
      <c r="C232" s="8">
        <v>11</v>
      </c>
      <c r="D232" s="9">
        <v>2</v>
      </c>
      <c r="E232" s="9">
        <v>21</v>
      </c>
      <c r="F232" s="9">
        <v>10</v>
      </c>
      <c r="G232" s="9">
        <v>6</v>
      </c>
      <c r="H232" s="9">
        <v>4</v>
      </c>
      <c r="I232" s="9">
        <v>2</v>
      </c>
      <c r="J232" s="9">
        <v>0</v>
      </c>
      <c r="K232" s="9">
        <v>6</v>
      </c>
      <c r="L232" s="9">
        <v>90</v>
      </c>
      <c r="M232" s="9">
        <v>14</v>
      </c>
      <c r="N232" s="10">
        <f t="shared" si="0"/>
        <v>166</v>
      </c>
      <c r="O232" s="11">
        <v>687572</v>
      </c>
      <c r="P232" s="12">
        <f t="shared" si="1"/>
        <v>24.142926122646063</v>
      </c>
    </row>
    <row r="233" spans="1:16" ht="14.25" customHeight="1">
      <c r="A233" s="11">
        <v>355240</v>
      </c>
      <c r="B233" s="11" t="s">
        <v>236</v>
      </c>
      <c r="C233" s="8">
        <v>6</v>
      </c>
      <c r="D233" s="9">
        <v>4</v>
      </c>
      <c r="E233" s="9">
        <v>3</v>
      </c>
      <c r="F233" s="9">
        <v>2</v>
      </c>
      <c r="G233" s="9">
        <v>1</v>
      </c>
      <c r="H233" s="9">
        <v>0</v>
      </c>
      <c r="I233" s="9">
        <v>0</v>
      </c>
      <c r="J233" s="9">
        <v>0</v>
      </c>
      <c r="K233" s="9">
        <v>0</v>
      </c>
      <c r="L233" s="9">
        <v>7</v>
      </c>
      <c r="M233" s="9">
        <v>0</v>
      </c>
      <c r="N233" s="10">
        <f t="shared" si="0"/>
        <v>23</v>
      </c>
      <c r="O233" s="11">
        <v>286211</v>
      </c>
      <c r="P233" s="12">
        <f t="shared" si="1"/>
        <v>8.0360293629525064</v>
      </c>
    </row>
    <row r="234" spans="1:16" ht="14.25" customHeight="1">
      <c r="A234" s="11">
        <v>355250</v>
      </c>
      <c r="B234" s="11" t="s">
        <v>237</v>
      </c>
      <c r="C234" s="8">
        <v>0</v>
      </c>
      <c r="D234" s="9">
        <v>0</v>
      </c>
      <c r="E234" s="9">
        <v>0</v>
      </c>
      <c r="F234" s="9">
        <v>3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10">
        <f t="shared" si="0"/>
        <v>3</v>
      </c>
      <c r="O234" s="11">
        <v>300559</v>
      </c>
      <c r="P234" s="12">
        <f t="shared" si="1"/>
        <v>0.99814013222029607</v>
      </c>
    </row>
    <row r="235" spans="1:16" ht="14.25" customHeight="1">
      <c r="A235" s="11">
        <v>355255</v>
      </c>
      <c r="B235" s="11" t="s">
        <v>238</v>
      </c>
      <c r="C235" s="8">
        <v>1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10">
        <f t="shared" si="0"/>
        <v>1</v>
      </c>
      <c r="O235" s="11">
        <v>4014</v>
      </c>
      <c r="P235" s="12">
        <f t="shared" si="1"/>
        <v>24.912805181863476</v>
      </c>
    </row>
    <row r="236" spans="1:16" ht="14.25" customHeight="1">
      <c r="A236" s="11">
        <v>355270</v>
      </c>
      <c r="B236" s="11" t="s">
        <v>239</v>
      </c>
      <c r="C236" s="8">
        <v>0</v>
      </c>
      <c r="D236" s="9">
        <v>2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10">
        <f t="shared" si="0"/>
        <v>2</v>
      </c>
      <c r="O236" s="11">
        <v>16644</v>
      </c>
      <c r="P236" s="12">
        <f t="shared" si="1"/>
        <v>12.01634222542658</v>
      </c>
    </row>
    <row r="237" spans="1:16" ht="14.25" customHeight="1">
      <c r="A237" s="11">
        <v>355280</v>
      </c>
      <c r="B237" s="11" t="s">
        <v>240</v>
      </c>
      <c r="C237" s="8">
        <v>1</v>
      </c>
      <c r="D237" s="9">
        <v>0</v>
      </c>
      <c r="E237" s="9">
        <v>1</v>
      </c>
      <c r="F237" s="9">
        <v>0</v>
      </c>
      <c r="G237" s="9">
        <v>2</v>
      </c>
      <c r="H237" s="9">
        <v>0</v>
      </c>
      <c r="I237" s="9">
        <v>0</v>
      </c>
      <c r="J237" s="9">
        <v>0</v>
      </c>
      <c r="K237" s="9">
        <v>0</v>
      </c>
      <c r="L237" s="9">
        <v>1</v>
      </c>
      <c r="M237" s="9">
        <v>1</v>
      </c>
      <c r="N237" s="10">
        <f t="shared" si="0"/>
        <v>6</v>
      </c>
      <c r="O237" s="11">
        <v>293652</v>
      </c>
      <c r="P237" s="12">
        <f t="shared" si="1"/>
        <v>2.0432348494135915</v>
      </c>
    </row>
    <row r="238" spans="1:16" ht="14.25" customHeight="1">
      <c r="A238" s="11">
        <v>355300</v>
      </c>
      <c r="B238" s="11" t="s">
        <v>241</v>
      </c>
      <c r="C238" s="8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1</v>
      </c>
      <c r="N238" s="10">
        <f t="shared" si="0"/>
        <v>1</v>
      </c>
      <c r="O238" s="11">
        <v>14141</v>
      </c>
      <c r="P238" s="12">
        <f t="shared" si="1"/>
        <v>7.0716356693303153</v>
      </c>
    </row>
    <row r="239" spans="1:16" ht="14.25" customHeight="1">
      <c r="A239" s="11">
        <v>355370</v>
      </c>
      <c r="B239" s="11" t="s">
        <v>242</v>
      </c>
      <c r="C239" s="8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1</v>
      </c>
      <c r="N239" s="10">
        <f t="shared" si="0"/>
        <v>1</v>
      </c>
      <c r="O239" s="11">
        <v>57364</v>
      </c>
      <c r="P239" s="12">
        <f t="shared" si="1"/>
        <v>1.7432536085349697</v>
      </c>
    </row>
    <row r="240" spans="1:16" ht="14.25" customHeight="1">
      <c r="A240" s="11">
        <v>355380</v>
      </c>
      <c r="B240" s="11" t="s">
        <v>243</v>
      </c>
      <c r="C240" s="8">
        <v>0</v>
      </c>
      <c r="D240" s="9">
        <v>0</v>
      </c>
      <c r="E240" s="9">
        <v>1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10">
        <f t="shared" si="0"/>
        <v>1</v>
      </c>
      <c r="O240" s="11">
        <v>23256</v>
      </c>
      <c r="P240" s="12">
        <f t="shared" si="1"/>
        <v>4.2999656002751978</v>
      </c>
    </row>
    <row r="241" spans="1:16" ht="14.25" customHeight="1">
      <c r="A241" s="11">
        <v>355400</v>
      </c>
      <c r="B241" s="11" t="s">
        <v>244</v>
      </c>
      <c r="C241" s="8">
        <v>1</v>
      </c>
      <c r="D241" s="9">
        <v>3</v>
      </c>
      <c r="E241" s="9">
        <v>0</v>
      </c>
      <c r="F241" s="9">
        <v>1</v>
      </c>
      <c r="G241" s="9">
        <v>1</v>
      </c>
      <c r="H241" s="9">
        <v>0</v>
      </c>
      <c r="I241" s="9">
        <v>0</v>
      </c>
      <c r="J241" s="9">
        <v>0</v>
      </c>
      <c r="K241" s="9">
        <v>0</v>
      </c>
      <c r="L241" s="9">
        <v>1</v>
      </c>
      <c r="M241" s="9">
        <v>1</v>
      </c>
      <c r="N241" s="10">
        <f t="shared" si="0"/>
        <v>8</v>
      </c>
      <c r="O241" s="11">
        <v>122967</v>
      </c>
      <c r="P241" s="12">
        <f t="shared" si="1"/>
        <v>6.5058105020046026</v>
      </c>
    </row>
    <row r="242" spans="1:16" ht="14.25" customHeight="1">
      <c r="A242" s="11">
        <v>355410</v>
      </c>
      <c r="B242" s="11" t="s">
        <v>245</v>
      </c>
      <c r="C242" s="8">
        <v>7</v>
      </c>
      <c r="D242" s="9">
        <v>4</v>
      </c>
      <c r="E242" s="9">
        <v>7</v>
      </c>
      <c r="F242" s="9">
        <v>8</v>
      </c>
      <c r="G242" s="9">
        <v>0</v>
      </c>
      <c r="H242" s="9">
        <v>2</v>
      </c>
      <c r="I242" s="9">
        <v>1</v>
      </c>
      <c r="J242" s="9">
        <v>0</v>
      </c>
      <c r="K242" s="9">
        <v>1</v>
      </c>
      <c r="L242" s="9">
        <v>5</v>
      </c>
      <c r="M242" s="9">
        <v>4</v>
      </c>
      <c r="N242" s="10">
        <f t="shared" si="0"/>
        <v>39</v>
      </c>
      <c r="O242" s="11">
        <v>317915</v>
      </c>
      <c r="P242" s="12">
        <f t="shared" si="1"/>
        <v>12.267429973420569</v>
      </c>
    </row>
    <row r="243" spans="1:16" ht="14.25" customHeight="1">
      <c r="A243" s="11">
        <v>355450</v>
      </c>
      <c r="B243" s="11" t="s">
        <v>246</v>
      </c>
      <c r="C243" s="8">
        <v>3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10">
        <f t="shared" si="0"/>
        <v>3</v>
      </c>
      <c r="O243" s="11">
        <v>42517</v>
      </c>
      <c r="P243" s="12">
        <f t="shared" si="1"/>
        <v>7.0560011289601814</v>
      </c>
    </row>
    <row r="244" spans="1:16" ht="14.25" customHeight="1">
      <c r="A244" s="11">
        <v>355500</v>
      </c>
      <c r="B244" s="11" t="s">
        <v>247</v>
      </c>
      <c r="C244" s="8">
        <v>0</v>
      </c>
      <c r="D244" s="9">
        <v>0</v>
      </c>
      <c r="E244" s="9">
        <v>0</v>
      </c>
      <c r="F244" s="9">
        <v>1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10">
        <f t="shared" si="0"/>
        <v>1</v>
      </c>
      <c r="O244" s="11">
        <v>65570</v>
      </c>
      <c r="P244" s="12">
        <f t="shared" si="1"/>
        <v>1.5250876925423211</v>
      </c>
    </row>
    <row r="245" spans="1:16" ht="14.25" customHeight="1">
      <c r="A245" s="11">
        <v>355510</v>
      </c>
      <c r="B245" s="11" t="s">
        <v>248</v>
      </c>
      <c r="C245" s="8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1</v>
      </c>
      <c r="M245" s="9">
        <v>0</v>
      </c>
      <c r="N245" s="10">
        <f t="shared" si="0"/>
        <v>1</v>
      </c>
      <c r="O245" s="11">
        <v>15583</v>
      </c>
      <c r="P245" s="12">
        <f t="shared" si="1"/>
        <v>6.4172495668356548</v>
      </c>
    </row>
    <row r="246" spans="1:16" ht="14.25" customHeight="1">
      <c r="A246" s="11">
        <v>355540</v>
      </c>
      <c r="B246" s="11" t="s">
        <v>249</v>
      </c>
      <c r="C246" s="8">
        <v>0</v>
      </c>
      <c r="D246" s="9">
        <v>1</v>
      </c>
      <c r="E246" s="9">
        <v>1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1</v>
      </c>
      <c r="M246" s="9">
        <v>1</v>
      </c>
      <c r="N246" s="10">
        <f t="shared" si="0"/>
        <v>4</v>
      </c>
      <c r="O246" s="11">
        <v>91824</v>
      </c>
      <c r="P246" s="12">
        <f t="shared" si="1"/>
        <v>4.356159609688099</v>
      </c>
    </row>
    <row r="247" spans="1:16" ht="14.25" customHeight="1">
      <c r="A247" s="11">
        <v>355580</v>
      </c>
      <c r="B247" s="11" t="s">
        <v>250</v>
      </c>
      <c r="C247" s="8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1</v>
      </c>
      <c r="N247" s="10">
        <f t="shared" si="0"/>
        <v>1</v>
      </c>
      <c r="O247" s="11">
        <v>9120</v>
      </c>
      <c r="P247" s="12">
        <f t="shared" si="1"/>
        <v>10.964912280701755</v>
      </c>
    </row>
    <row r="248" spans="1:16" ht="14.25" customHeight="1">
      <c r="A248" s="11">
        <v>355610</v>
      </c>
      <c r="B248" s="11" t="s">
        <v>251</v>
      </c>
      <c r="C248" s="8">
        <v>0</v>
      </c>
      <c r="D248" s="9">
        <v>0</v>
      </c>
      <c r="E248" s="9">
        <v>0</v>
      </c>
      <c r="F248" s="9">
        <v>1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10">
        <f t="shared" si="0"/>
        <v>1</v>
      </c>
      <c r="O248" s="11">
        <v>13532</v>
      </c>
      <c r="P248" s="12">
        <f t="shared" si="1"/>
        <v>7.3898906296186819</v>
      </c>
    </row>
    <row r="249" spans="1:16" ht="14.25" customHeight="1">
      <c r="A249" s="11">
        <v>355620</v>
      </c>
      <c r="B249" s="11" t="s">
        <v>252</v>
      </c>
      <c r="C249" s="8">
        <v>2</v>
      </c>
      <c r="D249" s="9">
        <v>3</v>
      </c>
      <c r="E249" s="9">
        <v>0</v>
      </c>
      <c r="F249" s="9">
        <v>3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12</v>
      </c>
      <c r="M249" s="9">
        <v>2</v>
      </c>
      <c r="N249" s="10">
        <f t="shared" si="0"/>
        <v>22</v>
      </c>
      <c r="O249" s="11">
        <v>131210</v>
      </c>
      <c r="P249" s="12">
        <f t="shared" si="1"/>
        <v>16.767014709244723</v>
      </c>
    </row>
    <row r="250" spans="1:16" ht="14.25" customHeight="1">
      <c r="A250" s="11">
        <v>355630</v>
      </c>
      <c r="B250" s="11" t="s">
        <v>253</v>
      </c>
      <c r="C250" s="8">
        <v>0</v>
      </c>
      <c r="D250" s="9">
        <v>0</v>
      </c>
      <c r="E250" s="9">
        <v>0</v>
      </c>
      <c r="F250" s="9">
        <v>1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10">
        <f t="shared" si="0"/>
        <v>1</v>
      </c>
      <c r="O250" s="11">
        <v>26822</v>
      </c>
      <c r="P250" s="12">
        <f t="shared" si="1"/>
        <v>3.7282827529639846</v>
      </c>
    </row>
    <row r="251" spans="1:16" ht="14.25" customHeight="1">
      <c r="A251" s="11">
        <v>355640</v>
      </c>
      <c r="B251" s="11" t="s">
        <v>254</v>
      </c>
      <c r="C251" s="8">
        <v>1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1</v>
      </c>
      <c r="N251" s="10">
        <f t="shared" si="0"/>
        <v>2</v>
      </c>
      <c r="O251" s="11">
        <v>43110</v>
      </c>
      <c r="P251" s="12">
        <f t="shared" si="1"/>
        <v>4.6392948271862675</v>
      </c>
    </row>
    <row r="252" spans="1:16" ht="14.25" customHeight="1">
      <c r="A252" s="11">
        <v>355645</v>
      </c>
      <c r="B252" s="11" t="s">
        <v>255</v>
      </c>
      <c r="C252" s="8">
        <v>0</v>
      </c>
      <c r="D252" s="9">
        <v>0</v>
      </c>
      <c r="E252" s="9">
        <v>2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10">
        <f t="shared" si="0"/>
        <v>2</v>
      </c>
      <c r="O252" s="11">
        <v>53468</v>
      </c>
      <c r="P252" s="12">
        <f t="shared" si="1"/>
        <v>3.7405550983765989</v>
      </c>
    </row>
    <row r="253" spans="1:16" ht="14.25" customHeight="1">
      <c r="A253" s="11">
        <v>355670</v>
      </c>
      <c r="B253" s="11" t="s">
        <v>256</v>
      </c>
      <c r="C253" s="8">
        <v>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5</v>
      </c>
      <c r="M253" s="9">
        <v>2</v>
      </c>
      <c r="N253" s="10">
        <f t="shared" si="0"/>
        <v>8</v>
      </c>
      <c r="O253" s="11">
        <v>80172</v>
      </c>
      <c r="P253" s="12">
        <f t="shared" si="1"/>
        <v>9.9785461258294674</v>
      </c>
    </row>
    <row r="254" spans="1:16" ht="14.25" customHeight="1">
      <c r="A254" s="11">
        <v>355700</v>
      </c>
      <c r="B254" s="11" t="s">
        <v>257</v>
      </c>
      <c r="C254" s="8">
        <v>1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1</v>
      </c>
      <c r="M254" s="9">
        <v>0</v>
      </c>
      <c r="N254" s="10">
        <f t="shared" si="0"/>
        <v>2</v>
      </c>
      <c r="O254" s="11">
        <v>123384</v>
      </c>
      <c r="P254" s="12">
        <f t="shared" si="1"/>
        <v>1.6209557154898528</v>
      </c>
    </row>
    <row r="255" spans="1:16" ht="14.25" customHeight="1">
      <c r="A255" s="11">
        <v>355710</v>
      </c>
      <c r="B255" s="11" t="s">
        <v>258</v>
      </c>
      <c r="C255" s="8">
        <v>0</v>
      </c>
      <c r="D255" s="9">
        <v>0</v>
      </c>
      <c r="E255" s="9">
        <v>2</v>
      </c>
      <c r="F255" s="9">
        <v>3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10">
        <f t="shared" si="0"/>
        <v>5</v>
      </c>
      <c r="O255" s="11">
        <v>95338</v>
      </c>
      <c r="P255" s="12">
        <f t="shared" si="1"/>
        <v>5.2444985210514172</v>
      </c>
    </row>
    <row r="256" spans="1:16" ht="14.25" customHeight="1">
      <c r="A256" s="14"/>
      <c r="B256" s="14"/>
    </row>
    <row r="257" spans="1:2" ht="14.25" customHeight="1">
      <c r="A257" s="14"/>
      <c r="B257" s="14"/>
    </row>
    <row r="258" spans="1:2" ht="14.25" customHeight="1">
      <c r="A258" s="14"/>
      <c r="B258" s="14"/>
    </row>
    <row r="259" spans="1:2" ht="14.25" customHeight="1">
      <c r="A259" s="14"/>
      <c r="B259" s="14"/>
    </row>
    <row r="260" spans="1:2" ht="14.25" customHeight="1">
      <c r="A260" s="14"/>
      <c r="B260" s="14"/>
    </row>
    <row r="261" spans="1:2" ht="14.25" customHeight="1">
      <c r="A261" s="14"/>
      <c r="B261" s="14"/>
    </row>
    <row r="262" spans="1:2" ht="14.25" customHeight="1">
      <c r="A262" s="14"/>
      <c r="B262" s="14"/>
    </row>
    <row r="263" spans="1:2" ht="14.25" customHeight="1">
      <c r="A263" s="14"/>
      <c r="B263" s="14"/>
    </row>
    <row r="264" spans="1:2" ht="14.25" customHeight="1">
      <c r="A264" s="14"/>
      <c r="B264" s="14"/>
    </row>
    <row r="265" spans="1:2" ht="14.25" customHeight="1">
      <c r="A265" s="14"/>
      <c r="B265" s="14"/>
    </row>
    <row r="266" spans="1:2" ht="14.25" customHeight="1">
      <c r="A266" s="14"/>
      <c r="B266" s="14"/>
    </row>
    <row r="267" spans="1:2" ht="14.25" customHeight="1">
      <c r="A267" s="14"/>
      <c r="B267" s="14"/>
    </row>
    <row r="268" spans="1:2" ht="14.25" customHeight="1">
      <c r="A268" s="14"/>
      <c r="B268" s="14"/>
    </row>
    <row r="269" spans="1:2" ht="14.25" customHeight="1">
      <c r="A269" s="14"/>
      <c r="B269" s="14"/>
    </row>
    <row r="270" spans="1:2" ht="14.25" customHeight="1">
      <c r="A270" s="14"/>
      <c r="B270" s="14"/>
    </row>
    <row r="271" spans="1:2" ht="14.25" customHeight="1">
      <c r="A271" s="14"/>
      <c r="B271" s="14"/>
    </row>
    <row r="272" spans="1:2" ht="14.25" customHeight="1">
      <c r="A272" s="14"/>
      <c r="B272" s="14"/>
    </row>
    <row r="273" spans="1:2" ht="14.25" customHeight="1">
      <c r="A273" s="14"/>
      <c r="B273" s="14"/>
    </row>
    <row r="274" spans="1:2" ht="14.25" customHeight="1">
      <c r="A274" s="14"/>
      <c r="B274" s="14"/>
    </row>
    <row r="275" spans="1:2" ht="14.25" customHeight="1">
      <c r="A275" s="14"/>
      <c r="B275" s="14"/>
    </row>
    <row r="276" spans="1:2" ht="14.25" customHeight="1">
      <c r="A276" s="14"/>
      <c r="B276" s="14"/>
    </row>
    <row r="277" spans="1:2" ht="14.25" customHeight="1">
      <c r="A277" s="14"/>
      <c r="B277" s="14"/>
    </row>
    <row r="278" spans="1:2" ht="14.25" customHeight="1">
      <c r="A278" s="14"/>
      <c r="B278" s="14"/>
    </row>
    <row r="279" spans="1:2" ht="14.25" customHeight="1">
      <c r="A279" s="14"/>
      <c r="B279" s="14"/>
    </row>
    <row r="280" spans="1:2" ht="14.25" customHeight="1">
      <c r="A280" s="14"/>
      <c r="B280" s="14"/>
    </row>
    <row r="281" spans="1:2" ht="14.25" customHeight="1">
      <c r="A281" s="14"/>
      <c r="B281" s="14"/>
    </row>
    <row r="282" spans="1:2" ht="14.25" customHeight="1">
      <c r="A282" s="14"/>
      <c r="B282" s="14"/>
    </row>
    <row r="283" spans="1:2" ht="14.25" customHeight="1">
      <c r="A283" s="14"/>
      <c r="B283" s="14"/>
    </row>
    <row r="284" spans="1:2" ht="14.25" customHeight="1">
      <c r="A284" s="14"/>
      <c r="B284" s="14"/>
    </row>
    <row r="285" spans="1:2" ht="14.25" customHeight="1">
      <c r="A285" s="14"/>
      <c r="B285" s="14"/>
    </row>
    <row r="286" spans="1:2" ht="14.25" customHeight="1">
      <c r="A286" s="14"/>
      <c r="B286" s="14"/>
    </row>
    <row r="287" spans="1:2" ht="14.25" customHeight="1">
      <c r="A287" s="14"/>
      <c r="B287" s="14"/>
    </row>
    <row r="288" spans="1:2" ht="14.25" customHeight="1">
      <c r="A288" s="14"/>
      <c r="B288" s="14"/>
    </row>
    <row r="289" spans="1:2" ht="14.25" customHeight="1">
      <c r="A289" s="14"/>
      <c r="B289" s="14"/>
    </row>
    <row r="290" spans="1:2" ht="14.25" customHeight="1">
      <c r="A290" s="14"/>
      <c r="B290" s="14"/>
    </row>
    <row r="291" spans="1:2" ht="14.25" customHeight="1">
      <c r="A291" s="14"/>
      <c r="B291" s="14"/>
    </row>
    <row r="292" spans="1:2" ht="14.25" customHeight="1">
      <c r="A292" s="14"/>
      <c r="B292" s="14"/>
    </row>
    <row r="293" spans="1:2" ht="14.25" customHeight="1">
      <c r="A293" s="14"/>
      <c r="B293" s="14"/>
    </row>
    <row r="294" spans="1:2" ht="14.25" customHeight="1">
      <c r="A294" s="14"/>
      <c r="B294" s="14"/>
    </row>
    <row r="295" spans="1:2" ht="14.25" customHeight="1">
      <c r="A295" s="14"/>
      <c r="B295" s="14"/>
    </row>
    <row r="296" spans="1:2" ht="14.25" customHeight="1">
      <c r="A296" s="14"/>
      <c r="B296" s="14"/>
    </row>
    <row r="297" spans="1:2" ht="14.25" customHeight="1">
      <c r="A297" s="14"/>
      <c r="B297" s="14"/>
    </row>
    <row r="298" spans="1:2" ht="14.25" customHeight="1">
      <c r="A298" s="14"/>
      <c r="B298" s="14"/>
    </row>
    <row r="299" spans="1:2" ht="14.25" customHeight="1">
      <c r="A299" s="14"/>
      <c r="B299" s="14"/>
    </row>
    <row r="300" spans="1:2" ht="14.25" customHeight="1">
      <c r="A300" s="14"/>
      <c r="B300" s="14"/>
    </row>
    <row r="301" spans="1:2" ht="14.25" customHeight="1">
      <c r="A301" s="14"/>
      <c r="B301" s="14"/>
    </row>
    <row r="302" spans="1:2" ht="14.25" customHeight="1">
      <c r="A302" s="14"/>
      <c r="B302" s="14"/>
    </row>
    <row r="303" spans="1:2" ht="14.25" customHeight="1">
      <c r="A303" s="14"/>
      <c r="B303" s="14"/>
    </row>
    <row r="304" spans="1:2" ht="14.25" customHeight="1">
      <c r="A304" s="14"/>
      <c r="B304" s="14"/>
    </row>
    <row r="305" spans="1:2" ht="14.25" customHeight="1">
      <c r="A305" s="14"/>
      <c r="B305" s="14"/>
    </row>
    <row r="306" spans="1:2" ht="14.25" customHeight="1">
      <c r="A306" s="14"/>
      <c r="B306" s="14"/>
    </row>
    <row r="307" spans="1:2" ht="14.25" customHeight="1">
      <c r="A307" s="14"/>
      <c r="B307" s="14"/>
    </row>
    <row r="308" spans="1:2" ht="14.25" customHeight="1">
      <c r="A308" s="14"/>
      <c r="B308" s="14"/>
    </row>
    <row r="309" spans="1:2" ht="14.25" customHeight="1">
      <c r="A309" s="14"/>
      <c r="B309" s="14"/>
    </row>
    <row r="310" spans="1:2" ht="14.25" customHeight="1">
      <c r="A310" s="14"/>
      <c r="B310" s="14"/>
    </row>
    <row r="311" spans="1:2" ht="14.25" customHeight="1">
      <c r="A311" s="14"/>
      <c r="B311" s="14"/>
    </row>
    <row r="312" spans="1:2" ht="14.25" customHeight="1">
      <c r="A312" s="14"/>
      <c r="B312" s="14"/>
    </row>
    <row r="313" spans="1:2" ht="14.25" customHeight="1">
      <c r="A313" s="14"/>
      <c r="B313" s="14"/>
    </row>
    <row r="314" spans="1:2" ht="14.25" customHeight="1">
      <c r="A314" s="14"/>
      <c r="B314" s="14"/>
    </row>
    <row r="315" spans="1:2" ht="14.25" customHeight="1">
      <c r="A315" s="14"/>
      <c r="B315" s="14"/>
    </row>
    <row r="316" spans="1:2" ht="14.25" customHeight="1">
      <c r="A316" s="14"/>
      <c r="B316" s="14"/>
    </row>
    <row r="317" spans="1:2" ht="14.25" customHeight="1">
      <c r="A317" s="14"/>
      <c r="B317" s="14"/>
    </row>
    <row r="318" spans="1:2" ht="14.25" customHeight="1">
      <c r="A318" s="14"/>
      <c r="B318" s="14"/>
    </row>
    <row r="319" spans="1:2" ht="14.25" customHeight="1">
      <c r="A319" s="14"/>
      <c r="B319" s="14"/>
    </row>
    <row r="320" spans="1:2" ht="14.25" customHeight="1">
      <c r="A320" s="14"/>
      <c r="B320" s="14"/>
    </row>
    <row r="321" spans="1:2" ht="14.25" customHeight="1">
      <c r="A321" s="14"/>
      <c r="B321" s="14"/>
    </row>
    <row r="322" spans="1:2" ht="14.25" customHeight="1">
      <c r="A322" s="14"/>
      <c r="B322" s="14"/>
    </row>
    <row r="323" spans="1:2" ht="14.25" customHeight="1">
      <c r="A323" s="14"/>
      <c r="B323" s="14"/>
    </row>
    <row r="324" spans="1:2" ht="14.25" customHeight="1">
      <c r="A324" s="14"/>
      <c r="B324" s="14"/>
    </row>
    <row r="325" spans="1:2" ht="14.25" customHeight="1">
      <c r="A325" s="14"/>
      <c r="B325" s="14"/>
    </row>
    <row r="326" spans="1:2" ht="14.25" customHeight="1">
      <c r="A326" s="14"/>
      <c r="B326" s="14"/>
    </row>
    <row r="327" spans="1:2" ht="14.25" customHeight="1">
      <c r="A327" s="14"/>
      <c r="B327" s="14"/>
    </row>
    <row r="328" spans="1:2" ht="14.25" customHeight="1">
      <c r="A328" s="14"/>
      <c r="B328" s="14"/>
    </row>
    <row r="329" spans="1:2" ht="14.25" customHeight="1">
      <c r="A329" s="14"/>
      <c r="B329" s="14"/>
    </row>
    <row r="330" spans="1:2" ht="14.25" customHeight="1">
      <c r="A330" s="14"/>
      <c r="B330" s="14"/>
    </row>
    <row r="331" spans="1:2" ht="14.25" customHeight="1">
      <c r="A331" s="14"/>
      <c r="B331" s="14"/>
    </row>
    <row r="332" spans="1:2" ht="14.25" customHeight="1">
      <c r="A332" s="14"/>
      <c r="B332" s="14"/>
    </row>
    <row r="333" spans="1:2" ht="14.25" customHeight="1">
      <c r="A333" s="14"/>
      <c r="B333" s="14"/>
    </row>
    <row r="334" spans="1:2" ht="14.25" customHeight="1">
      <c r="A334" s="14"/>
      <c r="B334" s="14"/>
    </row>
    <row r="335" spans="1:2" ht="14.25" customHeight="1">
      <c r="A335" s="14"/>
      <c r="B335" s="14"/>
    </row>
    <row r="336" spans="1:2" ht="14.25" customHeight="1">
      <c r="A336" s="14"/>
      <c r="B336" s="14"/>
    </row>
    <row r="337" spans="1:2" ht="14.25" customHeight="1">
      <c r="A337" s="14"/>
      <c r="B337" s="14"/>
    </row>
    <row r="338" spans="1:2" ht="14.25" customHeight="1">
      <c r="A338" s="14"/>
      <c r="B338" s="14"/>
    </row>
    <row r="339" spans="1:2" ht="14.25" customHeight="1">
      <c r="A339" s="14"/>
      <c r="B339" s="14"/>
    </row>
    <row r="340" spans="1:2" ht="14.25" customHeight="1">
      <c r="A340" s="14"/>
      <c r="B340" s="14"/>
    </row>
    <row r="341" spans="1:2" ht="14.25" customHeight="1">
      <c r="A341" s="14"/>
      <c r="B341" s="14"/>
    </row>
    <row r="342" spans="1:2" ht="14.25" customHeight="1">
      <c r="A342" s="14"/>
      <c r="B342" s="14"/>
    </row>
    <row r="343" spans="1:2" ht="14.25" customHeight="1">
      <c r="A343" s="14"/>
      <c r="B343" s="14"/>
    </row>
    <row r="344" spans="1:2" ht="14.25" customHeight="1">
      <c r="A344" s="14"/>
      <c r="B344" s="14"/>
    </row>
    <row r="345" spans="1:2" ht="14.25" customHeight="1">
      <c r="A345" s="14"/>
      <c r="B345" s="14"/>
    </row>
    <row r="346" spans="1:2" ht="14.25" customHeight="1">
      <c r="A346" s="14"/>
      <c r="B346" s="14"/>
    </row>
    <row r="347" spans="1:2" ht="14.25" customHeight="1">
      <c r="A347" s="14"/>
      <c r="B347" s="14"/>
    </row>
    <row r="348" spans="1:2" ht="14.25" customHeight="1">
      <c r="A348" s="14"/>
      <c r="B348" s="14"/>
    </row>
    <row r="349" spans="1:2" ht="14.25" customHeight="1">
      <c r="A349" s="14"/>
      <c r="B349" s="14"/>
    </row>
    <row r="350" spans="1:2" ht="14.25" customHeight="1">
      <c r="A350" s="14"/>
      <c r="B350" s="14"/>
    </row>
    <row r="351" spans="1:2" ht="14.25" customHeight="1">
      <c r="A351" s="14"/>
      <c r="B351" s="14"/>
    </row>
    <row r="352" spans="1:2" ht="14.25" customHeight="1">
      <c r="A352" s="14"/>
      <c r="B352" s="14"/>
    </row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/>
  </sheetViews>
  <sheetFormatPr defaultColWidth="14.44140625" defaultRowHeight="15" customHeight="1"/>
  <cols>
    <col min="1" max="1" width="20.6640625" customWidth="1"/>
    <col min="2" max="2" width="18.88671875" customWidth="1"/>
    <col min="3" max="14" width="8.6640625" customWidth="1"/>
    <col min="15" max="15" width="15.5546875" customWidth="1"/>
    <col min="16" max="16" width="12.88671875" customWidth="1"/>
    <col min="17" max="26" width="8.6640625" customWidth="1"/>
  </cols>
  <sheetData>
    <row r="1" spans="1:16" ht="14.25" customHeight="1">
      <c r="A1" s="3" t="s">
        <v>0</v>
      </c>
      <c r="B1" s="3" t="s">
        <v>259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 t="s">
        <v>2</v>
      </c>
      <c r="O1" s="5" t="s">
        <v>3</v>
      </c>
      <c r="P1" s="3" t="s">
        <v>4</v>
      </c>
    </row>
    <row r="2" spans="1:16" ht="14.25" customHeight="1">
      <c r="A2" s="11">
        <v>330010</v>
      </c>
      <c r="B2" s="11" t="s">
        <v>260</v>
      </c>
      <c r="C2" s="15">
        <v>3</v>
      </c>
      <c r="D2" s="16">
        <v>2</v>
      </c>
      <c r="E2" s="16">
        <v>0</v>
      </c>
      <c r="F2" s="16">
        <v>1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3</v>
      </c>
      <c r="M2" s="17">
        <v>6</v>
      </c>
      <c r="N2" s="18">
        <f t="shared" ref="N2:N52" si="0">SUM(C2:M2)</f>
        <v>15</v>
      </c>
      <c r="O2" s="11">
        <v>207044</v>
      </c>
      <c r="P2" s="18">
        <f t="shared" ref="P2:P52" si="1">N2/O2*100000</f>
        <v>7.2448368462742216</v>
      </c>
    </row>
    <row r="3" spans="1:16" ht="14.25" customHeight="1">
      <c r="A3" s="11">
        <v>330020</v>
      </c>
      <c r="B3" s="11" t="s">
        <v>261</v>
      </c>
      <c r="C3" s="8">
        <v>0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7" t="s">
        <v>262</v>
      </c>
      <c r="N3" s="18">
        <f t="shared" si="0"/>
        <v>1</v>
      </c>
      <c r="O3" s="11">
        <v>134293</v>
      </c>
      <c r="P3" s="18">
        <f t="shared" si="1"/>
        <v>0.74464045035854443</v>
      </c>
    </row>
    <row r="4" spans="1:16" ht="14.25" customHeight="1">
      <c r="A4" s="11">
        <v>330022</v>
      </c>
      <c r="B4" s="11" t="s">
        <v>263</v>
      </c>
      <c r="C4" s="8">
        <v>2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0</v>
      </c>
      <c r="L4" s="9">
        <v>0</v>
      </c>
      <c r="M4" s="7" t="s">
        <v>262</v>
      </c>
      <c r="N4" s="18">
        <f t="shared" si="0"/>
        <v>3</v>
      </c>
      <c r="O4" s="11">
        <v>12669</v>
      </c>
      <c r="P4" s="18">
        <f t="shared" si="1"/>
        <v>23.679848448969928</v>
      </c>
    </row>
    <row r="5" spans="1:16" ht="14.25" customHeight="1">
      <c r="A5" s="11">
        <v>330025</v>
      </c>
      <c r="B5" s="11" t="s">
        <v>264</v>
      </c>
      <c r="C5" s="8">
        <v>0</v>
      </c>
      <c r="D5" s="9">
        <v>0</v>
      </c>
      <c r="E5" s="9">
        <v>1</v>
      </c>
      <c r="F5" s="9">
        <v>1</v>
      </c>
      <c r="G5" s="9">
        <v>0</v>
      </c>
      <c r="H5" s="9">
        <v>0</v>
      </c>
      <c r="I5" s="9">
        <v>0</v>
      </c>
      <c r="J5" s="9">
        <v>2</v>
      </c>
      <c r="K5" s="9">
        <v>0</v>
      </c>
      <c r="L5" s="9">
        <v>0</v>
      </c>
      <c r="M5" s="7" t="s">
        <v>262</v>
      </c>
      <c r="N5" s="18">
        <f t="shared" si="0"/>
        <v>4</v>
      </c>
      <c r="O5" s="11">
        <v>30593</v>
      </c>
      <c r="P5" s="18">
        <f t="shared" si="1"/>
        <v>13.074886411924297</v>
      </c>
    </row>
    <row r="6" spans="1:16" ht="14.25" customHeight="1">
      <c r="A6" s="11">
        <v>330030</v>
      </c>
      <c r="B6" s="11" t="s">
        <v>265</v>
      </c>
      <c r="C6" s="8">
        <v>0</v>
      </c>
      <c r="D6" s="9">
        <v>0</v>
      </c>
      <c r="E6" s="9">
        <v>0</v>
      </c>
      <c r="F6" s="9">
        <v>1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</v>
      </c>
      <c r="M6" s="7" t="s">
        <v>262</v>
      </c>
      <c r="N6" s="18">
        <f t="shared" si="0"/>
        <v>2</v>
      </c>
      <c r="O6" s="11">
        <v>100764</v>
      </c>
      <c r="P6" s="18">
        <f t="shared" si="1"/>
        <v>1.9848358540748678</v>
      </c>
    </row>
    <row r="7" spans="1:16" ht="14.25" customHeight="1">
      <c r="A7" s="11">
        <v>330045</v>
      </c>
      <c r="B7" s="11" t="s">
        <v>266</v>
      </c>
      <c r="C7" s="8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2</v>
      </c>
      <c r="M7" s="17">
        <v>1</v>
      </c>
      <c r="N7" s="18">
        <f t="shared" si="0"/>
        <v>3</v>
      </c>
      <c r="O7" s="11">
        <v>513118</v>
      </c>
      <c r="P7" s="18">
        <f t="shared" si="1"/>
        <v>0.58466083824773252</v>
      </c>
    </row>
    <row r="8" spans="1:16" ht="14.25" customHeight="1">
      <c r="A8" s="11">
        <v>330060</v>
      </c>
      <c r="B8" s="11" t="s">
        <v>267</v>
      </c>
      <c r="C8" s="8">
        <v>0</v>
      </c>
      <c r="D8" s="9">
        <v>0</v>
      </c>
      <c r="E8" s="9">
        <v>0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3</v>
      </c>
      <c r="M8" s="17">
        <v>4</v>
      </c>
      <c r="N8" s="18">
        <f t="shared" si="0"/>
        <v>8</v>
      </c>
      <c r="O8" s="11">
        <v>37203</v>
      </c>
      <c r="P8" s="18">
        <f t="shared" si="1"/>
        <v>21.503642179394134</v>
      </c>
    </row>
    <row r="9" spans="1:16" ht="14.25" customHeight="1">
      <c r="A9" s="11">
        <v>330070</v>
      </c>
      <c r="B9" s="11" t="s">
        <v>268</v>
      </c>
      <c r="C9" s="8">
        <v>0</v>
      </c>
      <c r="D9" s="9">
        <v>0</v>
      </c>
      <c r="E9" s="9">
        <v>0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17">
        <v>2</v>
      </c>
      <c r="N9" s="18">
        <f t="shared" si="0"/>
        <v>3</v>
      </c>
      <c r="O9" s="11">
        <v>230378</v>
      </c>
      <c r="P9" s="18">
        <f t="shared" si="1"/>
        <v>1.3022076760801813</v>
      </c>
    </row>
    <row r="10" spans="1:16" ht="14.25" customHeight="1">
      <c r="A10" s="11">
        <v>330100</v>
      </c>
      <c r="B10" s="11" t="s">
        <v>269</v>
      </c>
      <c r="C10" s="8">
        <v>1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12</v>
      </c>
      <c r="M10" s="17">
        <v>17</v>
      </c>
      <c r="N10" s="18">
        <f t="shared" si="0"/>
        <v>32</v>
      </c>
      <c r="O10" s="11">
        <v>511168</v>
      </c>
      <c r="P10" s="18">
        <f t="shared" si="1"/>
        <v>6.2601727807687499</v>
      </c>
    </row>
    <row r="11" spans="1:16" ht="14.25" customHeight="1">
      <c r="A11" s="11">
        <v>330115</v>
      </c>
      <c r="B11" s="11" t="s">
        <v>270</v>
      </c>
      <c r="C11" s="8">
        <v>0</v>
      </c>
      <c r="D11" s="9">
        <v>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7" t="s">
        <v>262</v>
      </c>
      <c r="N11" s="18">
        <f t="shared" si="0"/>
        <v>1</v>
      </c>
      <c r="O11" s="11">
        <v>12821</v>
      </c>
      <c r="P11" s="18">
        <f t="shared" si="1"/>
        <v>7.799703611262772</v>
      </c>
    </row>
    <row r="12" spans="1:16" ht="14.25" customHeight="1">
      <c r="A12" s="11">
        <v>330120</v>
      </c>
      <c r="B12" s="11" t="s">
        <v>271</v>
      </c>
      <c r="C12" s="8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1</v>
      </c>
      <c r="M12" s="17">
        <v>1</v>
      </c>
      <c r="N12" s="18">
        <f t="shared" si="0"/>
        <v>2</v>
      </c>
      <c r="O12" s="11">
        <v>19030</v>
      </c>
      <c r="P12" s="18">
        <f t="shared" si="1"/>
        <v>10.509721492380452</v>
      </c>
    </row>
    <row r="13" spans="1:16" ht="14.25" customHeight="1">
      <c r="A13" s="11">
        <v>330150</v>
      </c>
      <c r="B13" s="11" t="s">
        <v>272</v>
      </c>
      <c r="C13" s="8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7" t="s">
        <v>262</v>
      </c>
      <c r="N13" s="18">
        <f t="shared" si="0"/>
        <v>1</v>
      </c>
      <c r="O13" s="11">
        <v>22041</v>
      </c>
      <c r="P13" s="18">
        <f t="shared" si="1"/>
        <v>4.5369992287101306</v>
      </c>
    </row>
    <row r="14" spans="1:16" ht="14.25" customHeight="1">
      <c r="A14" s="11">
        <v>330170</v>
      </c>
      <c r="B14" s="11" t="s">
        <v>273</v>
      </c>
      <c r="C14" s="8">
        <v>5</v>
      </c>
      <c r="D14" s="9">
        <v>8</v>
      </c>
      <c r="E14" s="9">
        <v>3</v>
      </c>
      <c r="F14" s="9">
        <v>3</v>
      </c>
      <c r="G14" s="9">
        <v>1</v>
      </c>
      <c r="H14" s="9">
        <v>5</v>
      </c>
      <c r="I14" s="9">
        <v>3</v>
      </c>
      <c r="J14" s="9">
        <v>0</v>
      </c>
      <c r="K14" s="9">
        <v>3</v>
      </c>
      <c r="L14" s="9">
        <v>12</v>
      </c>
      <c r="M14" s="17">
        <v>4</v>
      </c>
      <c r="N14" s="18">
        <f t="shared" si="0"/>
        <v>47</v>
      </c>
      <c r="O14" s="11">
        <v>924624</v>
      </c>
      <c r="P14" s="18">
        <f t="shared" si="1"/>
        <v>5.0831473117721364</v>
      </c>
    </row>
    <row r="15" spans="1:16" ht="14.25" customHeight="1">
      <c r="A15" s="11">
        <v>330190</v>
      </c>
      <c r="B15" s="11" t="s">
        <v>274</v>
      </c>
      <c r="C15" s="8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</v>
      </c>
      <c r="M15" s="17">
        <v>3</v>
      </c>
      <c r="N15" s="18">
        <f t="shared" si="0"/>
        <v>7</v>
      </c>
      <c r="O15" s="11">
        <v>242543</v>
      </c>
      <c r="P15" s="18">
        <f t="shared" si="1"/>
        <v>2.886086178533291</v>
      </c>
    </row>
    <row r="16" spans="1:16" ht="14.25" customHeight="1">
      <c r="A16" s="11">
        <v>330200</v>
      </c>
      <c r="B16" s="11" t="s">
        <v>275</v>
      </c>
      <c r="C16" s="8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1</v>
      </c>
      <c r="M16" s="7" t="s">
        <v>262</v>
      </c>
      <c r="N16" s="18">
        <f t="shared" si="0"/>
        <v>1</v>
      </c>
      <c r="O16" s="11">
        <v>134819</v>
      </c>
      <c r="P16" s="18">
        <f t="shared" si="1"/>
        <v>0.74173521536281972</v>
      </c>
    </row>
    <row r="17" spans="1:16" ht="14.25" customHeight="1">
      <c r="A17" s="11">
        <v>330205</v>
      </c>
      <c r="B17" s="11" t="s">
        <v>276</v>
      </c>
      <c r="C17" s="8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7">
        <v>1</v>
      </c>
      <c r="N17" s="18">
        <f t="shared" si="0"/>
        <v>1</v>
      </c>
      <c r="O17" s="11">
        <v>15299</v>
      </c>
      <c r="P17" s="18">
        <f t="shared" si="1"/>
        <v>6.5363749264657827</v>
      </c>
    </row>
    <row r="18" spans="1:16" ht="14.25" customHeight="1">
      <c r="A18" s="11">
        <v>330220</v>
      </c>
      <c r="B18" s="11" t="s">
        <v>277</v>
      </c>
      <c r="C18" s="8">
        <v>3</v>
      </c>
      <c r="D18" s="9">
        <v>1</v>
      </c>
      <c r="E18" s="9">
        <v>0</v>
      </c>
      <c r="F18" s="9">
        <v>2</v>
      </c>
      <c r="G18" s="9">
        <v>8</v>
      </c>
      <c r="H18" s="9">
        <v>0</v>
      </c>
      <c r="I18" s="9">
        <v>0</v>
      </c>
      <c r="J18" s="9">
        <v>1</v>
      </c>
      <c r="K18" s="9">
        <v>2</v>
      </c>
      <c r="L18" s="9">
        <v>8</v>
      </c>
      <c r="M18" s="17">
        <v>8</v>
      </c>
      <c r="N18" s="18">
        <f t="shared" si="0"/>
        <v>33</v>
      </c>
      <c r="O18" s="11">
        <v>103800</v>
      </c>
      <c r="P18" s="18">
        <f t="shared" si="1"/>
        <v>31.791907514450866</v>
      </c>
    </row>
    <row r="19" spans="1:16" ht="14.25" customHeight="1">
      <c r="A19" s="11">
        <v>330230</v>
      </c>
      <c r="B19" s="11" t="s">
        <v>278</v>
      </c>
      <c r="C19" s="8">
        <v>0</v>
      </c>
      <c r="D19" s="9">
        <v>0</v>
      </c>
      <c r="E19" s="9">
        <v>0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7" t="s">
        <v>262</v>
      </c>
      <c r="N19" s="18">
        <f t="shared" si="0"/>
        <v>1</v>
      </c>
      <c r="O19" s="11">
        <v>7326</v>
      </c>
      <c r="P19" s="18">
        <f t="shared" si="1"/>
        <v>13.650013650013651</v>
      </c>
    </row>
    <row r="20" spans="1:16" ht="14.25" customHeight="1">
      <c r="A20" s="11">
        <v>330240</v>
      </c>
      <c r="B20" s="11" t="s">
        <v>279</v>
      </c>
      <c r="C20" s="8">
        <v>2</v>
      </c>
      <c r="D20" s="9">
        <v>2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7</v>
      </c>
      <c r="M20" s="17">
        <v>3</v>
      </c>
      <c r="N20" s="19">
        <f t="shared" si="0"/>
        <v>14</v>
      </c>
      <c r="O20" s="11">
        <v>261501</v>
      </c>
      <c r="P20" s="18">
        <f t="shared" si="1"/>
        <v>5.3537080164129387</v>
      </c>
    </row>
    <row r="21" spans="1:16" ht="14.25" customHeight="1">
      <c r="A21" s="11">
        <v>330250</v>
      </c>
      <c r="B21" s="11" t="s">
        <v>280</v>
      </c>
      <c r="C21" s="8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8</v>
      </c>
      <c r="M21" s="17">
        <v>1</v>
      </c>
      <c r="N21" s="19">
        <f t="shared" si="0"/>
        <v>9</v>
      </c>
      <c r="O21" s="11">
        <v>246433</v>
      </c>
      <c r="P21" s="18">
        <f t="shared" si="1"/>
        <v>3.6521082809526324</v>
      </c>
    </row>
    <row r="22" spans="1:16" ht="14.25" customHeight="1">
      <c r="A22" s="11">
        <v>330270</v>
      </c>
      <c r="B22" s="11" t="s">
        <v>281</v>
      </c>
      <c r="C22" s="8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5</v>
      </c>
      <c r="M22" s="7" t="s">
        <v>262</v>
      </c>
      <c r="N22" s="19">
        <f t="shared" si="0"/>
        <v>5</v>
      </c>
      <c r="O22" s="11">
        <v>164504</v>
      </c>
      <c r="P22" s="18">
        <f t="shared" si="1"/>
        <v>3.0394397704615086</v>
      </c>
    </row>
    <row r="23" spans="1:16" ht="14.25" customHeight="1">
      <c r="A23" s="11">
        <v>330285</v>
      </c>
      <c r="B23" s="11" t="s">
        <v>282</v>
      </c>
      <c r="C23" s="8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2</v>
      </c>
      <c r="M23" s="7" t="s">
        <v>262</v>
      </c>
      <c r="N23" s="19">
        <f t="shared" si="0"/>
        <v>2</v>
      </c>
      <c r="O23" s="11">
        <v>176569</v>
      </c>
      <c r="P23" s="18">
        <f t="shared" si="1"/>
        <v>1.1327016633723925</v>
      </c>
    </row>
    <row r="24" spans="1:16" ht="14.25" customHeight="1">
      <c r="A24" s="11">
        <v>330320</v>
      </c>
      <c r="B24" s="11" t="s">
        <v>283</v>
      </c>
      <c r="C24" s="8">
        <v>0</v>
      </c>
      <c r="D24" s="9">
        <v>0</v>
      </c>
      <c r="E24" s="9">
        <v>0</v>
      </c>
      <c r="F24" s="9">
        <v>0</v>
      </c>
      <c r="G24" s="9">
        <v>3</v>
      </c>
      <c r="H24" s="9">
        <v>0</v>
      </c>
      <c r="I24" s="9">
        <v>0</v>
      </c>
      <c r="J24" s="9">
        <v>1</v>
      </c>
      <c r="K24" s="9">
        <v>0</v>
      </c>
      <c r="L24" s="9">
        <v>0</v>
      </c>
      <c r="M24" s="7" t="s">
        <v>262</v>
      </c>
      <c r="N24" s="19">
        <f t="shared" si="0"/>
        <v>4</v>
      </c>
      <c r="O24" s="11">
        <v>162693</v>
      </c>
      <c r="P24" s="18">
        <f t="shared" si="1"/>
        <v>2.4586183794016954</v>
      </c>
    </row>
    <row r="25" spans="1:16" ht="14.25" customHeight="1">
      <c r="A25" s="11">
        <v>330330</v>
      </c>
      <c r="B25" s="11" t="s">
        <v>284</v>
      </c>
      <c r="C25" s="8">
        <v>2</v>
      </c>
      <c r="D25" s="9">
        <v>4</v>
      </c>
      <c r="E25" s="9">
        <v>2</v>
      </c>
      <c r="F25" s="9">
        <v>3</v>
      </c>
      <c r="G25" s="9">
        <v>7</v>
      </c>
      <c r="H25" s="9">
        <v>1</v>
      </c>
      <c r="I25" s="9">
        <v>0</v>
      </c>
      <c r="J25" s="9">
        <v>0</v>
      </c>
      <c r="K25" s="9">
        <v>0</v>
      </c>
      <c r="L25" s="9">
        <v>42</v>
      </c>
      <c r="M25" s="17">
        <v>8</v>
      </c>
      <c r="N25" s="19">
        <f t="shared" si="0"/>
        <v>69</v>
      </c>
      <c r="O25" s="11">
        <v>515317</v>
      </c>
      <c r="P25" s="18">
        <f t="shared" si="1"/>
        <v>13.389816365460485</v>
      </c>
    </row>
    <row r="26" spans="1:16" ht="14.25" customHeight="1">
      <c r="A26" s="11">
        <v>330340</v>
      </c>
      <c r="B26" s="11" t="s">
        <v>285</v>
      </c>
      <c r="C26" s="8">
        <v>2</v>
      </c>
      <c r="D26" s="9">
        <v>0</v>
      </c>
      <c r="E26" s="9">
        <v>7</v>
      </c>
      <c r="F26" s="9">
        <v>3</v>
      </c>
      <c r="G26" s="9">
        <v>3</v>
      </c>
      <c r="H26" s="9">
        <v>0</v>
      </c>
      <c r="I26" s="9">
        <v>0</v>
      </c>
      <c r="J26" s="9">
        <v>0</v>
      </c>
      <c r="K26" s="9">
        <v>0</v>
      </c>
      <c r="L26" s="9">
        <v>12</v>
      </c>
      <c r="M26" s="17">
        <v>2</v>
      </c>
      <c r="N26" s="19">
        <f t="shared" si="0"/>
        <v>29</v>
      </c>
      <c r="O26" s="11">
        <v>191158</v>
      </c>
      <c r="P26" s="18">
        <f t="shared" si="1"/>
        <v>15.170696491907217</v>
      </c>
    </row>
    <row r="27" spans="1:16" ht="14.25" customHeight="1">
      <c r="A27" s="11">
        <v>330350</v>
      </c>
      <c r="B27" s="11" t="s">
        <v>286</v>
      </c>
      <c r="C27" s="8">
        <v>0</v>
      </c>
      <c r="D27" s="9">
        <v>0</v>
      </c>
      <c r="E27" s="9">
        <v>0</v>
      </c>
      <c r="F27" s="9">
        <v>0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18</v>
      </c>
      <c r="M27" s="17">
        <v>9</v>
      </c>
      <c r="N27" s="19">
        <f t="shared" si="0"/>
        <v>28</v>
      </c>
      <c r="O27" s="11">
        <v>823302</v>
      </c>
      <c r="P27" s="18">
        <f t="shared" si="1"/>
        <v>3.400939145052484</v>
      </c>
    </row>
    <row r="28" spans="1:16" ht="14.25" customHeight="1">
      <c r="A28" s="11">
        <v>330370</v>
      </c>
      <c r="B28" s="11" t="s">
        <v>287</v>
      </c>
      <c r="C28" s="8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7" t="s">
        <v>262</v>
      </c>
      <c r="N28" s="19">
        <f t="shared" si="0"/>
        <v>1</v>
      </c>
      <c r="O28" s="11">
        <v>44518</v>
      </c>
      <c r="P28" s="18">
        <f t="shared" si="1"/>
        <v>2.2462824026236579</v>
      </c>
    </row>
    <row r="29" spans="1:16" ht="14.25" customHeight="1">
      <c r="A29" s="11">
        <v>330380</v>
      </c>
      <c r="B29" s="11" t="s">
        <v>288</v>
      </c>
      <c r="C29" s="8">
        <v>0</v>
      </c>
      <c r="D29" s="9">
        <v>0</v>
      </c>
      <c r="E29" s="9">
        <v>1</v>
      </c>
      <c r="F29" s="9">
        <v>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9</v>
      </c>
      <c r="M29" s="17">
        <v>2</v>
      </c>
      <c r="N29" s="19">
        <f t="shared" si="0"/>
        <v>13</v>
      </c>
      <c r="O29" s="11">
        <v>43680</v>
      </c>
      <c r="P29" s="18">
        <f t="shared" si="1"/>
        <v>29.761904761904766</v>
      </c>
    </row>
    <row r="30" spans="1:16" ht="14.25" customHeight="1">
      <c r="A30" s="11">
        <v>330390</v>
      </c>
      <c r="B30" s="11" t="s">
        <v>289</v>
      </c>
      <c r="C30" s="8">
        <v>1</v>
      </c>
      <c r="D30" s="9">
        <v>4</v>
      </c>
      <c r="E30" s="9">
        <v>2</v>
      </c>
      <c r="F30" s="9">
        <v>1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72</v>
      </c>
      <c r="M30" s="17">
        <v>8</v>
      </c>
      <c r="N30" s="19">
        <f t="shared" si="0"/>
        <v>90</v>
      </c>
      <c r="O30" s="11">
        <v>306678</v>
      </c>
      <c r="P30" s="18">
        <f t="shared" si="1"/>
        <v>29.346741533465067</v>
      </c>
    </row>
    <row r="31" spans="1:16" ht="14.25" customHeight="1">
      <c r="A31" s="11">
        <v>330395</v>
      </c>
      <c r="B31" s="11" t="s">
        <v>290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2</v>
      </c>
      <c r="M31" s="7" t="s">
        <v>262</v>
      </c>
      <c r="N31" s="19">
        <f t="shared" si="0"/>
        <v>2</v>
      </c>
      <c r="O31" s="11">
        <v>25364</v>
      </c>
      <c r="P31" s="18">
        <f t="shared" si="1"/>
        <v>7.8851916101561264</v>
      </c>
    </row>
    <row r="32" spans="1:16" ht="14.25" customHeight="1">
      <c r="A32" s="11">
        <v>330400</v>
      </c>
      <c r="B32" s="11" t="s">
        <v>291</v>
      </c>
      <c r="C32" s="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</v>
      </c>
      <c r="M32" s="7" t="s">
        <v>262</v>
      </c>
      <c r="N32" s="19">
        <f t="shared" si="0"/>
        <v>1</v>
      </c>
      <c r="O32" s="11">
        <v>29545</v>
      </c>
      <c r="P32" s="18">
        <f t="shared" si="1"/>
        <v>3.3846674564224069</v>
      </c>
    </row>
    <row r="33" spans="1:16" ht="14.25" customHeight="1">
      <c r="A33" s="11">
        <v>330410</v>
      </c>
      <c r="B33" s="11" t="s">
        <v>292</v>
      </c>
      <c r="C33" s="8">
        <v>2</v>
      </c>
      <c r="D33" s="9">
        <v>1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7" t="s">
        <v>262</v>
      </c>
      <c r="N33" s="19">
        <f t="shared" si="0"/>
        <v>3</v>
      </c>
      <c r="O33" s="11">
        <v>18960</v>
      </c>
      <c r="P33" s="18">
        <f t="shared" si="1"/>
        <v>15.822784810126583</v>
      </c>
    </row>
    <row r="34" spans="1:16" ht="14.25" customHeight="1">
      <c r="A34" s="11">
        <v>330414</v>
      </c>
      <c r="B34" s="11" t="s">
        <v>293</v>
      </c>
      <c r="C34" s="8">
        <v>0</v>
      </c>
      <c r="D34" s="9">
        <v>0</v>
      </c>
      <c r="E34" s="9">
        <v>2</v>
      </c>
      <c r="F34" s="9">
        <v>2</v>
      </c>
      <c r="G34" s="9">
        <v>1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7" t="s">
        <v>262</v>
      </c>
      <c r="N34" s="19">
        <f t="shared" si="0"/>
        <v>5</v>
      </c>
      <c r="O34" s="11">
        <v>151335</v>
      </c>
      <c r="P34" s="18">
        <f t="shared" si="1"/>
        <v>3.3039283708329203</v>
      </c>
    </row>
    <row r="35" spans="1:16" ht="14.25" customHeight="1">
      <c r="A35" s="11">
        <v>330420</v>
      </c>
      <c r="B35" s="11" t="s">
        <v>294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  <c r="H35" s="9">
        <v>2</v>
      </c>
      <c r="I35" s="9">
        <v>0</v>
      </c>
      <c r="J35" s="9">
        <v>0</v>
      </c>
      <c r="K35" s="9">
        <v>1</v>
      </c>
      <c r="L35" s="9">
        <v>5</v>
      </c>
      <c r="M35" s="17">
        <v>2</v>
      </c>
      <c r="N35" s="19">
        <f t="shared" si="0"/>
        <v>10</v>
      </c>
      <c r="O35" s="11">
        <v>132312</v>
      </c>
      <c r="P35" s="18">
        <f t="shared" si="1"/>
        <v>7.5578934639337323</v>
      </c>
    </row>
    <row r="36" spans="1:16" ht="14.25" customHeight="1">
      <c r="A36" s="11">
        <v>330430</v>
      </c>
      <c r="B36" s="11" t="s">
        <v>295</v>
      </c>
      <c r="C36" s="8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1</v>
      </c>
      <c r="M36" s="17">
        <v>1</v>
      </c>
      <c r="N36" s="19">
        <f t="shared" si="0"/>
        <v>2</v>
      </c>
      <c r="O36" s="11">
        <v>60573</v>
      </c>
      <c r="P36" s="18">
        <f t="shared" si="1"/>
        <v>3.3018011325177885</v>
      </c>
    </row>
    <row r="37" spans="1:16" ht="14.25" customHeight="1">
      <c r="A37" s="11">
        <v>330452</v>
      </c>
      <c r="B37" s="11" t="s">
        <v>296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1</v>
      </c>
      <c r="N37" s="19">
        <f t="shared" si="0"/>
        <v>1</v>
      </c>
      <c r="O37" s="11">
        <v>155193</v>
      </c>
      <c r="P37" s="18">
        <f t="shared" si="1"/>
        <v>0.64435895948915223</v>
      </c>
    </row>
    <row r="38" spans="1:16" ht="14.25" customHeight="1">
      <c r="A38" s="11">
        <v>330455</v>
      </c>
      <c r="B38" s="11" t="s">
        <v>297</v>
      </c>
      <c r="C38" s="8">
        <v>62</v>
      </c>
      <c r="D38" s="9">
        <v>48</v>
      </c>
      <c r="E38" s="9">
        <v>17</v>
      </c>
      <c r="F38" s="9">
        <v>15</v>
      </c>
      <c r="G38" s="9">
        <v>18</v>
      </c>
      <c r="H38" s="9">
        <v>4</v>
      </c>
      <c r="I38" s="9">
        <v>2</v>
      </c>
      <c r="J38" s="9">
        <v>0</v>
      </c>
      <c r="K38" s="9">
        <v>0</v>
      </c>
      <c r="L38" s="9">
        <v>294</v>
      </c>
      <c r="M38" s="17">
        <v>33</v>
      </c>
      <c r="N38" s="19">
        <f t="shared" si="0"/>
        <v>493</v>
      </c>
      <c r="O38" s="11">
        <v>6747815</v>
      </c>
      <c r="P38" s="18">
        <f t="shared" si="1"/>
        <v>7.3060687052030922</v>
      </c>
    </row>
    <row r="39" spans="1:16" ht="14.25" customHeight="1">
      <c r="A39" s="11">
        <v>330490</v>
      </c>
      <c r="B39" s="11" t="s">
        <v>298</v>
      </c>
      <c r="C39" s="8">
        <v>2</v>
      </c>
      <c r="D39" s="9">
        <v>4</v>
      </c>
      <c r="E39" s="9">
        <v>3</v>
      </c>
      <c r="F39" s="9">
        <v>0</v>
      </c>
      <c r="G39" s="9">
        <v>0</v>
      </c>
      <c r="H39" s="9">
        <v>1</v>
      </c>
      <c r="I39" s="9">
        <v>0</v>
      </c>
      <c r="J39" s="9">
        <v>0</v>
      </c>
      <c r="K39" s="9">
        <v>0</v>
      </c>
      <c r="L39" s="9">
        <v>30</v>
      </c>
      <c r="M39" s="17">
        <v>2</v>
      </c>
      <c r="N39" s="19">
        <f t="shared" si="0"/>
        <v>42</v>
      </c>
      <c r="O39" s="11">
        <v>1091737</v>
      </c>
      <c r="P39" s="18">
        <f t="shared" si="1"/>
        <v>3.8470803865766205</v>
      </c>
    </row>
    <row r="40" spans="1:16" ht="14.25" customHeight="1">
      <c r="A40" s="11">
        <v>330510</v>
      </c>
      <c r="B40" s="11" t="s">
        <v>299</v>
      </c>
      <c r="C40" s="8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7">
        <v>1</v>
      </c>
      <c r="N40" s="19">
        <f t="shared" si="0"/>
        <v>1</v>
      </c>
      <c r="O40" s="11">
        <v>472906</v>
      </c>
      <c r="P40" s="18">
        <f t="shared" si="1"/>
        <v>0.21145851395414736</v>
      </c>
    </row>
    <row r="41" spans="1:16" ht="14.25" customHeight="1">
      <c r="A41" s="11">
        <v>330513</v>
      </c>
      <c r="B41" s="11" t="s">
        <v>300</v>
      </c>
      <c r="C41" s="8">
        <v>0</v>
      </c>
      <c r="D41" s="9">
        <v>0</v>
      </c>
      <c r="E41" s="9">
        <v>1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7" t="s">
        <v>262</v>
      </c>
      <c r="N41" s="19">
        <f t="shared" si="0"/>
        <v>1</v>
      </c>
      <c r="O41" s="11">
        <v>7206</v>
      </c>
      <c r="P41" s="18">
        <f t="shared" si="1"/>
        <v>13.877324451845686</v>
      </c>
    </row>
    <row r="42" spans="1:16" ht="14.25" customHeight="1">
      <c r="A42" s="11">
        <v>330515</v>
      </c>
      <c r="B42" s="11" t="s">
        <v>301</v>
      </c>
      <c r="C42" s="8">
        <v>0</v>
      </c>
      <c r="D42" s="9">
        <v>0</v>
      </c>
      <c r="E42" s="9">
        <v>2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7" t="s">
        <v>262</v>
      </c>
      <c r="N42" s="19">
        <f t="shared" si="0"/>
        <v>2</v>
      </c>
      <c r="O42" s="11">
        <v>21916</v>
      </c>
      <c r="P42" s="18">
        <f t="shared" si="1"/>
        <v>9.1257528746121555</v>
      </c>
    </row>
    <row r="43" spans="1:16" ht="14.25" customHeight="1">
      <c r="A43" s="11">
        <v>330520</v>
      </c>
      <c r="B43" s="11" t="s">
        <v>302</v>
      </c>
      <c r="C43" s="8">
        <v>0</v>
      </c>
      <c r="D43" s="9">
        <v>0</v>
      </c>
      <c r="E43" s="9">
        <v>0</v>
      </c>
      <c r="F43" s="9">
        <v>1</v>
      </c>
      <c r="G43" s="9">
        <v>1</v>
      </c>
      <c r="H43" s="9">
        <v>0</v>
      </c>
      <c r="I43" s="9">
        <v>0</v>
      </c>
      <c r="J43" s="9">
        <v>0</v>
      </c>
      <c r="K43" s="9">
        <v>0</v>
      </c>
      <c r="L43" s="9">
        <v>2</v>
      </c>
      <c r="M43" s="17">
        <v>4</v>
      </c>
      <c r="N43" s="19">
        <f t="shared" si="0"/>
        <v>8</v>
      </c>
      <c r="O43" s="11">
        <v>106049</v>
      </c>
      <c r="P43" s="18">
        <f t="shared" si="1"/>
        <v>7.5436826372714494</v>
      </c>
    </row>
    <row r="44" spans="1:16" ht="14.25" customHeight="1">
      <c r="A44" s="11">
        <v>330540</v>
      </c>
      <c r="B44" s="11" t="s">
        <v>303</v>
      </c>
      <c r="C44" s="8">
        <v>0</v>
      </c>
      <c r="D44" s="9">
        <v>0</v>
      </c>
      <c r="E44" s="9">
        <v>4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7" t="s">
        <v>262</v>
      </c>
      <c r="N44" s="19">
        <f t="shared" si="0"/>
        <v>4</v>
      </c>
      <c r="O44" s="11">
        <v>18249</v>
      </c>
      <c r="P44" s="18">
        <f t="shared" si="1"/>
        <v>21.919009260781412</v>
      </c>
    </row>
    <row r="45" spans="1:16" ht="14.25" customHeight="1">
      <c r="A45" s="11">
        <v>330550</v>
      </c>
      <c r="B45" s="11" t="s">
        <v>304</v>
      </c>
      <c r="C45" s="8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1</v>
      </c>
      <c r="M45" s="7" t="s">
        <v>262</v>
      </c>
      <c r="N45" s="19">
        <f t="shared" si="0"/>
        <v>1</v>
      </c>
      <c r="O45" s="11">
        <v>90583</v>
      </c>
      <c r="P45" s="18">
        <f t="shared" si="1"/>
        <v>1.1039599041762802</v>
      </c>
    </row>
    <row r="46" spans="1:16" ht="14.25" customHeight="1">
      <c r="A46" s="11">
        <v>330555</v>
      </c>
      <c r="B46" s="11" t="s">
        <v>305</v>
      </c>
      <c r="C46" s="8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</v>
      </c>
      <c r="M46" s="17">
        <v>1</v>
      </c>
      <c r="N46" s="19">
        <f t="shared" si="0"/>
        <v>2</v>
      </c>
      <c r="O46" s="11">
        <v>83092</v>
      </c>
      <c r="P46" s="18">
        <f t="shared" si="1"/>
        <v>2.4069705868194293</v>
      </c>
    </row>
    <row r="47" spans="1:16" ht="14.25" customHeight="1">
      <c r="A47" s="11">
        <v>330560</v>
      </c>
      <c r="B47" s="11" t="s">
        <v>306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1</v>
      </c>
      <c r="N47" s="19">
        <f t="shared" si="0"/>
        <v>1</v>
      </c>
      <c r="O47" s="11">
        <v>21774</v>
      </c>
      <c r="P47" s="18">
        <f t="shared" si="1"/>
        <v>4.5926334160007354</v>
      </c>
    </row>
    <row r="48" spans="1:16" ht="14.25" customHeight="1">
      <c r="A48" s="11">
        <v>330580</v>
      </c>
      <c r="B48" s="11" t="s">
        <v>307</v>
      </c>
      <c r="C48" s="8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1</v>
      </c>
      <c r="J48" s="9">
        <v>0</v>
      </c>
      <c r="K48" s="9">
        <v>0</v>
      </c>
      <c r="L48" s="9">
        <v>4</v>
      </c>
      <c r="M48" s="7" t="s">
        <v>262</v>
      </c>
      <c r="N48" s="19">
        <f t="shared" si="0"/>
        <v>5</v>
      </c>
      <c r="O48" s="11">
        <v>184240</v>
      </c>
      <c r="P48" s="18">
        <f t="shared" si="1"/>
        <v>2.7138514980460271</v>
      </c>
    </row>
    <row r="49" spans="1:16" ht="14.25" customHeight="1">
      <c r="A49" s="11">
        <v>330600</v>
      </c>
      <c r="B49" s="11" t="s">
        <v>308</v>
      </c>
      <c r="C49" s="8">
        <v>4</v>
      </c>
      <c r="D49" s="9">
        <v>0</v>
      </c>
      <c r="E49" s="9">
        <v>1</v>
      </c>
      <c r="F49" s="9">
        <v>1</v>
      </c>
      <c r="G49" s="9">
        <v>0</v>
      </c>
      <c r="H49" s="9">
        <v>1</v>
      </c>
      <c r="I49" s="9">
        <v>0</v>
      </c>
      <c r="J49" s="9">
        <v>0</v>
      </c>
      <c r="K49" s="9">
        <v>0</v>
      </c>
      <c r="L49" s="9">
        <v>1</v>
      </c>
      <c r="M49" s="7" t="s">
        <v>262</v>
      </c>
      <c r="N49" s="19">
        <f t="shared" si="0"/>
        <v>8</v>
      </c>
      <c r="O49" s="11">
        <v>82142</v>
      </c>
      <c r="P49" s="18">
        <f t="shared" si="1"/>
        <v>9.739232061551947</v>
      </c>
    </row>
    <row r="50" spans="1:16" ht="14.25" customHeight="1">
      <c r="A50" s="11">
        <v>330610</v>
      </c>
      <c r="B50" s="11" t="s">
        <v>309</v>
      </c>
      <c r="C50" s="8">
        <v>0</v>
      </c>
      <c r="D50" s="9">
        <v>0</v>
      </c>
      <c r="E50" s="9">
        <v>0</v>
      </c>
      <c r="F50" s="9">
        <v>0</v>
      </c>
      <c r="G50" s="9">
        <v>1</v>
      </c>
      <c r="H50" s="9">
        <v>0</v>
      </c>
      <c r="I50" s="9">
        <v>1</v>
      </c>
      <c r="J50" s="9">
        <v>0</v>
      </c>
      <c r="K50" s="9">
        <v>0</v>
      </c>
      <c r="L50" s="9">
        <v>1</v>
      </c>
      <c r="M50" s="7" t="s">
        <v>262</v>
      </c>
      <c r="N50" s="19">
        <f t="shared" si="0"/>
        <v>3</v>
      </c>
      <c r="O50" s="11">
        <v>76869</v>
      </c>
      <c r="P50" s="18">
        <f t="shared" si="1"/>
        <v>3.902743628771026</v>
      </c>
    </row>
    <row r="51" spans="1:16" ht="14.25" customHeight="1">
      <c r="A51" s="11">
        <v>330620</v>
      </c>
      <c r="B51" s="11" t="s">
        <v>310</v>
      </c>
      <c r="C51" s="8">
        <v>0</v>
      </c>
      <c r="D51" s="9">
        <v>2</v>
      </c>
      <c r="E51" s="9">
        <v>1</v>
      </c>
      <c r="F51" s="9">
        <v>0</v>
      </c>
      <c r="G51" s="9">
        <v>1</v>
      </c>
      <c r="H51" s="9">
        <v>1</v>
      </c>
      <c r="I51" s="9">
        <v>0</v>
      </c>
      <c r="J51" s="9">
        <v>0</v>
      </c>
      <c r="K51" s="9">
        <v>0</v>
      </c>
      <c r="L51" s="9">
        <v>0</v>
      </c>
      <c r="M51" s="7" t="s">
        <v>262</v>
      </c>
      <c r="N51" s="19">
        <f t="shared" si="0"/>
        <v>5</v>
      </c>
      <c r="O51" s="11">
        <v>37083</v>
      </c>
      <c r="P51" s="18">
        <f t="shared" si="1"/>
        <v>13.483267265323732</v>
      </c>
    </row>
    <row r="52" spans="1:16" ht="14.25" customHeight="1">
      <c r="A52" s="11">
        <v>330630</v>
      </c>
      <c r="B52" s="11" t="s">
        <v>311</v>
      </c>
      <c r="C52" s="8">
        <v>0</v>
      </c>
      <c r="D52" s="9">
        <v>0</v>
      </c>
      <c r="E52" s="9">
        <v>2</v>
      </c>
      <c r="F52" s="9">
        <v>2</v>
      </c>
      <c r="G52" s="9">
        <v>1</v>
      </c>
      <c r="H52" s="9">
        <v>0</v>
      </c>
      <c r="I52" s="9">
        <v>0</v>
      </c>
      <c r="J52" s="9">
        <v>0</v>
      </c>
      <c r="K52" s="9">
        <v>1</v>
      </c>
      <c r="L52" s="9">
        <v>20</v>
      </c>
      <c r="M52" s="7" t="s">
        <v>262</v>
      </c>
      <c r="N52" s="19">
        <f t="shared" si="0"/>
        <v>26</v>
      </c>
      <c r="O52" s="11">
        <v>273988</v>
      </c>
      <c r="P52" s="18">
        <f t="shared" si="1"/>
        <v>9.4894666919719111</v>
      </c>
    </row>
    <row r="53" spans="1:16" ht="14.25" customHeight="1"/>
    <row r="54" spans="1:16" ht="14.25" customHeight="1"/>
    <row r="55" spans="1:16" ht="14.25" customHeight="1"/>
    <row r="56" spans="1:16" ht="14.25" customHeight="1"/>
    <row r="57" spans="1:16" ht="14.25" customHeight="1"/>
    <row r="58" spans="1:16" ht="14.25" customHeight="1"/>
    <row r="59" spans="1:16" ht="14.25" customHeight="1"/>
    <row r="60" spans="1:16" ht="14.25" customHeight="1"/>
    <row r="61" spans="1:16" ht="14.25" customHeight="1"/>
    <row r="62" spans="1:16" ht="14.25" customHeight="1"/>
    <row r="63" spans="1:16" ht="14.25" customHeight="1"/>
    <row r="64" spans="1:1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/>
  </sheetViews>
  <sheetFormatPr defaultColWidth="14.44140625" defaultRowHeight="15" customHeight="1"/>
  <cols>
    <col min="1" max="1" width="8.6640625" customWidth="1"/>
    <col min="2" max="2" width="34.109375" customWidth="1"/>
    <col min="3" max="14" width="8.6640625" customWidth="1"/>
    <col min="15" max="15" width="10.5546875" customWidth="1"/>
    <col min="16" max="26" width="8.6640625" customWidth="1"/>
  </cols>
  <sheetData>
    <row r="1" spans="1:19" ht="14.25" customHeight="1">
      <c r="A1" s="3" t="s">
        <v>0</v>
      </c>
      <c r="B1" s="3" t="s">
        <v>259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 t="s">
        <v>2</v>
      </c>
      <c r="O1" s="5" t="s">
        <v>3</v>
      </c>
      <c r="P1" s="3" t="s">
        <v>4</v>
      </c>
    </row>
    <row r="2" spans="1:19" ht="14.25" customHeight="1">
      <c r="A2" s="11">
        <v>320010</v>
      </c>
      <c r="B2" s="11" t="s">
        <v>312</v>
      </c>
      <c r="C2" s="15">
        <v>3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20"/>
      <c r="J2" s="16">
        <v>0</v>
      </c>
      <c r="K2" s="16">
        <v>0</v>
      </c>
      <c r="L2" s="16">
        <v>0</v>
      </c>
      <c r="M2" s="16">
        <v>0</v>
      </c>
      <c r="N2" s="18">
        <f t="shared" ref="N2:N53" si="0">SUM(C2:M2)</f>
        <v>3</v>
      </c>
      <c r="O2" s="21">
        <v>30455</v>
      </c>
      <c r="P2" s="18">
        <f t="shared" ref="P2:P53" si="1">N2/O2*100000</f>
        <v>9.8505992447873911</v>
      </c>
      <c r="S2" s="21" t="s">
        <v>313</v>
      </c>
    </row>
    <row r="3" spans="1:19" ht="14.25" customHeight="1">
      <c r="A3" s="11">
        <v>320020</v>
      </c>
      <c r="B3" s="11" t="s">
        <v>314</v>
      </c>
      <c r="C3" s="8">
        <v>0</v>
      </c>
      <c r="D3" s="9">
        <v>0</v>
      </c>
      <c r="E3" s="9">
        <v>2</v>
      </c>
      <c r="F3" s="9">
        <v>0</v>
      </c>
      <c r="G3" s="9">
        <v>0</v>
      </c>
      <c r="H3" s="9">
        <v>0</v>
      </c>
      <c r="I3" s="22"/>
      <c r="J3" s="9">
        <v>0</v>
      </c>
      <c r="K3" s="9">
        <v>0</v>
      </c>
      <c r="L3" s="9">
        <v>1</v>
      </c>
      <c r="M3" s="9">
        <v>0</v>
      </c>
      <c r="N3" s="18">
        <f t="shared" si="0"/>
        <v>3</v>
      </c>
      <c r="O3" s="21">
        <v>29975</v>
      </c>
      <c r="P3" s="18">
        <f t="shared" si="1"/>
        <v>10.008340283569641</v>
      </c>
    </row>
    <row r="4" spans="1:19" ht="14.25" customHeight="1">
      <c r="A4" s="11">
        <v>320030</v>
      </c>
      <c r="B4" s="11" t="s">
        <v>315</v>
      </c>
      <c r="C4" s="8">
        <v>1</v>
      </c>
      <c r="D4" s="9">
        <v>6</v>
      </c>
      <c r="E4" s="9">
        <v>2</v>
      </c>
      <c r="F4" s="9">
        <v>0</v>
      </c>
      <c r="G4" s="9">
        <v>0</v>
      </c>
      <c r="H4" s="9">
        <v>0</v>
      </c>
      <c r="I4" s="22"/>
      <c r="J4" s="9">
        <v>0</v>
      </c>
      <c r="K4" s="9">
        <v>0</v>
      </c>
      <c r="L4" s="9">
        <v>0</v>
      </c>
      <c r="M4" s="9">
        <v>0</v>
      </c>
      <c r="N4" s="18">
        <f t="shared" si="0"/>
        <v>9</v>
      </c>
      <c r="O4" s="21">
        <v>14636</v>
      </c>
      <c r="P4" s="18">
        <f t="shared" si="1"/>
        <v>61.492210986608363</v>
      </c>
    </row>
    <row r="5" spans="1:19" ht="14.25" customHeight="1">
      <c r="A5" s="11">
        <v>320040</v>
      </c>
      <c r="B5" s="11" t="s">
        <v>316</v>
      </c>
      <c r="C5" s="8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22"/>
      <c r="J5" s="9">
        <v>0</v>
      </c>
      <c r="K5" s="9">
        <v>0</v>
      </c>
      <c r="L5" s="9">
        <v>2</v>
      </c>
      <c r="M5" s="9">
        <v>0</v>
      </c>
      <c r="N5" s="18">
        <f t="shared" si="0"/>
        <v>2</v>
      </c>
      <c r="O5" s="21">
        <v>29779</v>
      </c>
      <c r="P5" s="18">
        <f t="shared" si="1"/>
        <v>6.7161422478928108</v>
      </c>
    </row>
    <row r="6" spans="1:19" ht="14.25" customHeight="1">
      <c r="A6" s="11">
        <v>320060</v>
      </c>
      <c r="B6" s="11" t="s">
        <v>317</v>
      </c>
      <c r="C6" s="8">
        <v>2</v>
      </c>
      <c r="D6" s="9">
        <v>0</v>
      </c>
      <c r="E6" s="9">
        <v>10</v>
      </c>
      <c r="F6" s="9">
        <v>5</v>
      </c>
      <c r="G6" s="9">
        <v>0</v>
      </c>
      <c r="H6" s="9">
        <v>0</v>
      </c>
      <c r="I6" s="22"/>
      <c r="J6" s="9">
        <v>0</v>
      </c>
      <c r="K6" s="9">
        <v>0</v>
      </c>
      <c r="L6" s="9">
        <v>32</v>
      </c>
      <c r="M6" s="9">
        <v>6</v>
      </c>
      <c r="N6" s="18">
        <f t="shared" si="0"/>
        <v>55</v>
      </c>
      <c r="O6" s="21">
        <v>103101</v>
      </c>
      <c r="P6" s="18">
        <f t="shared" si="1"/>
        <v>53.345748343856997</v>
      </c>
    </row>
    <row r="7" spans="1:19" ht="14.25" customHeight="1">
      <c r="A7" s="11">
        <v>320070</v>
      </c>
      <c r="B7" s="11" t="s">
        <v>318</v>
      </c>
      <c r="C7" s="8">
        <v>1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22"/>
      <c r="J7" s="9">
        <v>0</v>
      </c>
      <c r="K7" s="9">
        <v>0</v>
      </c>
      <c r="L7" s="9">
        <v>1</v>
      </c>
      <c r="M7" s="9">
        <v>0</v>
      </c>
      <c r="N7" s="18">
        <f t="shared" si="0"/>
        <v>2</v>
      </c>
      <c r="O7" s="21">
        <v>12105</v>
      </c>
      <c r="P7" s="18">
        <f t="shared" si="1"/>
        <v>16.522098306484924</v>
      </c>
    </row>
    <row r="8" spans="1:19" ht="14.25" customHeight="1">
      <c r="A8" s="11">
        <v>320100</v>
      </c>
      <c r="B8" s="11" t="s">
        <v>319</v>
      </c>
      <c r="C8" s="8">
        <v>1</v>
      </c>
      <c r="D8" s="9">
        <v>1</v>
      </c>
      <c r="E8" s="9">
        <v>1</v>
      </c>
      <c r="F8" s="9">
        <v>0</v>
      </c>
      <c r="G8" s="9">
        <v>0</v>
      </c>
      <c r="H8" s="9">
        <v>0</v>
      </c>
      <c r="I8" s="22"/>
      <c r="J8" s="9">
        <v>0</v>
      </c>
      <c r="K8" s="9">
        <v>0</v>
      </c>
      <c r="L8" s="9">
        <v>0</v>
      </c>
      <c r="M8" s="9">
        <v>0</v>
      </c>
      <c r="N8" s="18">
        <f t="shared" si="0"/>
        <v>3</v>
      </c>
      <c r="O8" s="21">
        <v>15092</v>
      </c>
      <c r="P8" s="18">
        <f t="shared" si="1"/>
        <v>19.878081102570899</v>
      </c>
    </row>
    <row r="9" spans="1:19" ht="14.25" customHeight="1">
      <c r="A9" s="11">
        <v>320110</v>
      </c>
      <c r="B9" s="11" t="s">
        <v>320</v>
      </c>
      <c r="C9" s="8">
        <v>0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22"/>
      <c r="J9" s="9">
        <v>0</v>
      </c>
      <c r="K9" s="9">
        <v>0</v>
      </c>
      <c r="L9" s="9">
        <v>0</v>
      </c>
      <c r="M9" s="9">
        <v>0</v>
      </c>
      <c r="N9" s="18">
        <f t="shared" si="0"/>
        <v>1</v>
      </c>
      <c r="O9" s="21">
        <v>9962</v>
      </c>
      <c r="P9" s="18">
        <f t="shared" si="1"/>
        <v>10.03814495081309</v>
      </c>
    </row>
    <row r="10" spans="1:19" ht="14.25" customHeight="1">
      <c r="A10" s="11">
        <v>320120</v>
      </c>
      <c r="B10" s="11" t="s">
        <v>321</v>
      </c>
      <c r="C10" s="8">
        <v>28</v>
      </c>
      <c r="D10" s="9">
        <v>18</v>
      </c>
      <c r="E10" s="9">
        <v>9</v>
      </c>
      <c r="F10" s="9">
        <v>13</v>
      </c>
      <c r="G10" s="9">
        <v>6</v>
      </c>
      <c r="H10" s="9">
        <v>0</v>
      </c>
      <c r="I10" s="22"/>
      <c r="J10" s="9">
        <v>0</v>
      </c>
      <c r="K10" s="9">
        <v>3</v>
      </c>
      <c r="L10" s="9">
        <v>4</v>
      </c>
      <c r="M10" s="9">
        <v>2</v>
      </c>
      <c r="N10" s="18">
        <f t="shared" si="0"/>
        <v>83</v>
      </c>
      <c r="O10" s="21">
        <v>210589</v>
      </c>
      <c r="P10" s="18">
        <f t="shared" si="1"/>
        <v>39.413264700435441</v>
      </c>
    </row>
    <row r="11" spans="1:19" ht="14.25" customHeight="1">
      <c r="A11" s="11">
        <v>320130</v>
      </c>
      <c r="B11" s="11" t="s">
        <v>322</v>
      </c>
      <c r="C11" s="8">
        <v>14</v>
      </c>
      <c r="D11" s="9">
        <v>7</v>
      </c>
      <c r="E11" s="9">
        <v>7</v>
      </c>
      <c r="F11" s="9">
        <v>4</v>
      </c>
      <c r="G11" s="9">
        <v>4</v>
      </c>
      <c r="H11" s="9">
        <v>0</v>
      </c>
      <c r="I11" s="22"/>
      <c r="J11" s="9">
        <v>1</v>
      </c>
      <c r="K11" s="9">
        <v>0</v>
      </c>
      <c r="L11" s="9">
        <v>9</v>
      </c>
      <c r="M11" s="9">
        <v>0</v>
      </c>
      <c r="N11" s="18">
        <f t="shared" si="0"/>
        <v>46</v>
      </c>
      <c r="O11" s="21">
        <v>383917</v>
      </c>
      <c r="P11" s="18">
        <f t="shared" si="1"/>
        <v>11.981756473404408</v>
      </c>
    </row>
    <row r="12" spans="1:19" ht="14.25" customHeight="1">
      <c r="A12" s="11">
        <v>320140</v>
      </c>
      <c r="B12" s="11" t="s">
        <v>323</v>
      </c>
      <c r="C12" s="8">
        <v>0</v>
      </c>
      <c r="D12" s="9">
        <v>4</v>
      </c>
      <c r="E12" s="9">
        <v>0</v>
      </c>
      <c r="F12" s="9">
        <v>0</v>
      </c>
      <c r="G12" s="9">
        <v>0</v>
      </c>
      <c r="H12" s="9">
        <v>0</v>
      </c>
      <c r="I12" s="22"/>
      <c r="J12" s="9">
        <v>0</v>
      </c>
      <c r="K12" s="9">
        <v>0</v>
      </c>
      <c r="L12" s="9">
        <v>2</v>
      </c>
      <c r="M12" s="9">
        <v>0</v>
      </c>
      <c r="N12" s="18">
        <f t="shared" si="0"/>
        <v>6</v>
      </c>
      <c r="O12" s="21">
        <v>37747</v>
      </c>
      <c r="P12" s="18">
        <f t="shared" si="1"/>
        <v>15.895302937981828</v>
      </c>
    </row>
    <row r="13" spans="1:19" ht="14.25" customHeight="1">
      <c r="A13" s="11">
        <v>320150</v>
      </c>
      <c r="B13" s="11" t="s">
        <v>324</v>
      </c>
      <c r="C13" s="8">
        <v>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22"/>
      <c r="J13" s="9">
        <v>0</v>
      </c>
      <c r="K13" s="9">
        <v>0</v>
      </c>
      <c r="L13" s="9">
        <v>10</v>
      </c>
      <c r="M13" s="9">
        <v>2</v>
      </c>
      <c r="N13" s="18">
        <f t="shared" si="0"/>
        <v>18</v>
      </c>
      <c r="O13" s="21">
        <v>123400</v>
      </c>
      <c r="P13" s="18">
        <f t="shared" si="1"/>
        <v>14.586709886547814</v>
      </c>
    </row>
    <row r="14" spans="1:19" ht="14.25" customHeight="1">
      <c r="A14" s="11">
        <v>320160</v>
      </c>
      <c r="B14" s="11" t="s">
        <v>325</v>
      </c>
      <c r="C14" s="8">
        <v>0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22"/>
      <c r="J14" s="9">
        <v>0</v>
      </c>
      <c r="K14" s="9">
        <v>0</v>
      </c>
      <c r="L14" s="9">
        <v>0</v>
      </c>
      <c r="M14" s="9">
        <v>0</v>
      </c>
      <c r="N14" s="18">
        <f t="shared" si="0"/>
        <v>1</v>
      </c>
      <c r="O14" s="21">
        <v>31273</v>
      </c>
      <c r="P14" s="18">
        <f t="shared" si="1"/>
        <v>3.1976465321523357</v>
      </c>
    </row>
    <row r="15" spans="1:19" ht="14.25" customHeight="1">
      <c r="A15" s="11">
        <v>320225</v>
      </c>
      <c r="B15" s="11" t="s">
        <v>326</v>
      </c>
      <c r="C15" s="8">
        <v>1</v>
      </c>
      <c r="D15" s="9">
        <v>0</v>
      </c>
      <c r="E15" s="9">
        <v>0</v>
      </c>
      <c r="F15" s="9">
        <v>0</v>
      </c>
      <c r="G15" s="9">
        <v>3</v>
      </c>
      <c r="H15" s="9">
        <v>0</v>
      </c>
      <c r="I15" s="22"/>
      <c r="J15" s="9">
        <v>0</v>
      </c>
      <c r="K15" s="9">
        <v>0</v>
      </c>
      <c r="L15" s="9">
        <v>2</v>
      </c>
      <c r="M15" s="9">
        <v>0</v>
      </c>
      <c r="N15" s="18">
        <f t="shared" si="0"/>
        <v>6</v>
      </c>
      <c r="O15" s="21">
        <v>12880</v>
      </c>
      <c r="P15" s="18">
        <f t="shared" si="1"/>
        <v>46.58385093167702</v>
      </c>
    </row>
    <row r="16" spans="1:19" ht="14.25" customHeight="1">
      <c r="A16" s="11">
        <v>320230</v>
      </c>
      <c r="B16" s="11" t="s">
        <v>327</v>
      </c>
      <c r="C16" s="8">
        <v>0</v>
      </c>
      <c r="D16" s="9">
        <v>2</v>
      </c>
      <c r="E16" s="9">
        <v>0</v>
      </c>
      <c r="F16" s="9">
        <v>0</v>
      </c>
      <c r="G16" s="9">
        <v>0</v>
      </c>
      <c r="H16" s="9">
        <v>1</v>
      </c>
      <c r="I16" s="22"/>
      <c r="J16" s="9">
        <v>0</v>
      </c>
      <c r="K16" s="9">
        <v>0</v>
      </c>
      <c r="L16" s="9">
        <v>0</v>
      </c>
      <c r="M16" s="9">
        <v>0</v>
      </c>
      <c r="N16" s="18">
        <f t="shared" si="0"/>
        <v>3</v>
      </c>
      <c r="O16" s="21">
        <v>31122</v>
      </c>
      <c r="P16" s="18">
        <f t="shared" si="1"/>
        <v>9.6394833236938506</v>
      </c>
    </row>
    <row r="17" spans="1:16" ht="14.25" customHeight="1">
      <c r="A17" s="11">
        <v>320240</v>
      </c>
      <c r="B17" s="11" t="s">
        <v>328</v>
      </c>
      <c r="C17" s="8">
        <v>5</v>
      </c>
      <c r="D17" s="9">
        <v>2</v>
      </c>
      <c r="E17" s="9">
        <v>0</v>
      </c>
      <c r="F17" s="9">
        <v>0</v>
      </c>
      <c r="G17" s="9">
        <v>2</v>
      </c>
      <c r="H17" s="9">
        <v>0</v>
      </c>
      <c r="I17" s="22"/>
      <c r="J17" s="9">
        <v>0</v>
      </c>
      <c r="K17" s="9">
        <v>0</v>
      </c>
      <c r="L17" s="9">
        <v>6</v>
      </c>
      <c r="M17" s="9">
        <v>1</v>
      </c>
      <c r="N17" s="18">
        <f t="shared" si="0"/>
        <v>16</v>
      </c>
      <c r="O17" s="21">
        <v>126701</v>
      </c>
      <c r="P17" s="18">
        <f t="shared" si="1"/>
        <v>12.628156052438419</v>
      </c>
    </row>
    <row r="18" spans="1:16" ht="14.25" customHeight="1">
      <c r="A18" s="11">
        <v>320245</v>
      </c>
      <c r="B18" s="11" t="s">
        <v>329</v>
      </c>
      <c r="C18" s="8">
        <v>0</v>
      </c>
      <c r="D18" s="9">
        <v>2</v>
      </c>
      <c r="E18" s="9">
        <v>0</v>
      </c>
      <c r="F18" s="9">
        <v>2</v>
      </c>
      <c r="G18" s="9">
        <v>0</v>
      </c>
      <c r="H18" s="9">
        <v>0</v>
      </c>
      <c r="I18" s="22"/>
      <c r="J18" s="9">
        <v>0</v>
      </c>
      <c r="K18" s="9">
        <v>0</v>
      </c>
      <c r="L18" s="9">
        <v>9</v>
      </c>
      <c r="M18" s="9">
        <v>0</v>
      </c>
      <c r="N18" s="18">
        <f t="shared" si="0"/>
        <v>13</v>
      </c>
      <c r="O18" s="21">
        <v>26426</v>
      </c>
      <c r="P18" s="18">
        <f t="shared" si="1"/>
        <v>49.193975630061303</v>
      </c>
    </row>
    <row r="19" spans="1:16" ht="14.25" customHeight="1">
      <c r="A19" s="11">
        <v>320260</v>
      </c>
      <c r="B19" s="11" t="s">
        <v>330</v>
      </c>
      <c r="C19" s="8">
        <v>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22"/>
      <c r="J19" s="9">
        <v>0</v>
      </c>
      <c r="K19" s="9">
        <v>0</v>
      </c>
      <c r="L19" s="9">
        <v>0</v>
      </c>
      <c r="M19" s="9">
        <v>0</v>
      </c>
      <c r="N19" s="18">
        <f t="shared" si="0"/>
        <v>1</v>
      </c>
      <c r="O19" s="21">
        <v>13973</v>
      </c>
      <c r="P19" s="18">
        <f t="shared" si="1"/>
        <v>7.1566592714520869</v>
      </c>
    </row>
    <row r="20" spans="1:16" ht="14.25" customHeight="1">
      <c r="A20" s="11">
        <v>320265</v>
      </c>
      <c r="B20" s="11" t="s">
        <v>331</v>
      </c>
      <c r="C20" s="8">
        <v>0</v>
      </c>
      <c r="D20" s="9">
        <v>3</v>
      </c>
      <c r="E20" s="9">
        <v>0</v>
      </c>
      <c r="F20" s="9">
        <v>0</v>
      </c>
      <c r="G20" s="9">
        <v>0</v>
      </c>
      <c r="H20" s="9">
        <v>0</v>
      </c>
      <c r="I20" s="23"/>
      <c r="J20" s="9">
        <v>0</v>
      </c>
      <c r="K20" s="9">
        <v>0</v>
      </c>
      <c r="L20" s="9">
        <v>0</v>
      </c>
      <c r="M20" s="9">
        <v>0</v>
      </c>
      <c r="N20" s="18">
        <f t="shared" si="0"/>
        <v>3</v>
      </c>
      <c r="O20" s="21">
        <v>13526</v>
      </c>
      <c r="P20" s="18">
        <f t="shared" si="1"/>
        <v>22.179506136330033</v>
      </c>
    </row>
    <row r="21" spans="1:16" ht="14.25" customHeight="1">
      <c r="A21" s="11">
        <v>320270</v>
      </c>
      <c r="B21" s="11" t="s">
        <v>332</v>
      </c>
      <c r="C21" s="8">
        <v>6</v>
      </c>
      <c r="D21" s="9">
        <v>0</v>
      </c>
      <c r="E21" s="9">
        <v>0</v>
      </c>
      <c r="F21" s="9">
        <v>1</v>
      </c>
      <c r="G21" s="9">
        <v>0</v>
      </c>
      <c r="H21" s="9">
        <v>0</v>
      </c>
      <c r="I21" s="23"/>
      <c r="J21" s="9">
        <v>0</v>
      </c>
      <c r="K21" s="9">
        <v>0</v>
      </c>
      <c r="L21" s="9">
        <v>0</v>
      </c>
      <c r="M21" s="9">
        <v>0</v>
      </c>
      <c r="N21" s="18">
        <f t="shared" si="0"/>
        <v>7</v>
      </c>
      <c r="O21" s="21">
        <v>14023</v>
      </c>
      <c r="P21" s="18">
        <f t="shared" si="1"/>
        <v>49.917991870498469</v>
      </c>
    </row>
    <row r="22" spans="1:16" ht="14.25" customHeight="1">
      <c r="A22" s="11">
        <v>320280</v>
      </c>
      <c r="B22" s="11" t="s">
        <v>333</v>
      </c>
      <c r="C22" s="8">
        <v>0</v>
      </c>
      <c r="D22" s="9">
        <v>0</v>
      </c>
      <c r="E22" s="9">
        <v>0</v>
      </c>
      <c r="F22" s="9">
        <v>1</v>
      </c>
      <c r="G22" s="9">
        <v>1</v>
      </c>
      <c r="H22" s="9">
        <v>0</v>
      </c>
      <c r="I22" s="23"/>
      <c r="J22" s="9">
        <v>0</v>
      </c>
      <c r="K22" s="9">
        <v>0</v>
      </c>
      <c r="L22" s="9">
        <v>0</v>
      </c>
      <c r="M22" s="9">
        <v>0</v>
      </c>
      <c r="N22" s="18">
        <f t="shared" si="0"/>
        <v>2</v>
      </c>
      <c r="O22" s="21">
        <v>34656</v>
      </c>
      <c r="P22" s="18">
        <f t="shared" si="1"/>
        <v>5.7710064635272387</v>
      </c>
    </row>
    <row r="23" spans="1:16" ht="14.25" customHeight="1">
      <c r="A23" s="11">
        <v>320300</v>
      </c>
      <c r="B23" s="11" t="s">
        <v>334</v>
      </c>
      <c r="C23" s="8">
        <v>0</v>
      </c>
      <c r="D23" s="9">
        <v>0</v>
      </c>
      <c r="E23" s="9">
        <v>0</v>
      </c>
      <c r="F23" s="9">
        <v>0</v>
      </c>
      <c r="G23" s="9">
        <v>2</v>
      </c>
      <c r="H23" s="9">
        <v>0</v>
      </c>
      <c r="I23" s="23"/>
      <c r="J23" s="9">
        <v>0</v>
      </c>
      <c r="K23" s="9">
        <v>0</v>
      </c>
      <c r="L23" s="9">
        <v>0</v>
      </c>
      <c r="M23" s="9">
        <v>1</v>
      </c>
      <c r="N23" s="18">
        <f t="shared" si="0"/>
        <v>3</v>
      </c>
      <c r="O23" s="21">
        <v>29290</v>
      </c>
      <c r="P23" s="18">
        <f t="shared" si="1"/>
        <v>10.242403550699898</v>
      </c>
    </row>
    <row r="24" spans="1:16" ht="14.25" customHeight="1">
      <c r="A24" s="11">
        <v>320305</v>
      </c>
      <c r="B24" s="11" t="s">
        <v>335</v>
      </c>
      <c r="C24" s="8">
        <v>0</v>
      </c>
      <c r="D24" s="9">
        <v>1</v>
      </c>
      <c r="E24" s="9">
        <v>1</v>
      </c>
      <c r="F24" s="9">
        <v>0</v>
      </c>
      <c r="G24" s="9">
        <v>1</v>
      </c>
      <c r="H24" s="9">
        <v>0</v>
      </c>
      <c r="I24" s="23"/>
      <c r="J24" s="9">
        <v>0</v>
      </c>
      <c r="K24" s="9">
        <v>0</v>
      </c>
      <c r="L24" s="9">
        <v>0</v>
      </c>
      <c r="M24" s="9">
        <v>0</v>
      </c>
      <c r="N24" s="18">
        <f t="shared" si="0"/>
        <v>3</v>
      </c>
      <c r="O24" s="21">
        <v>31039</v>
      </c>
      <c r="P24" s="18">
        <f t="shared" si="1"/>
        <v>9.6652598344018816</v>
      </c>
    </row>
    <row r="25" spans="1:16" ht="14.25" customHeight="1">
      <c r="A25" s="11">
        <v>320313</v>
      </c>
      <c r="B25" s="11" t="s">
        <v>336</v>
      </c>
      <c r="C25" s="8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23"/>
      <c r="J25" s="9">
        <v>0</v>
      </c>
      <c r="K25" s="9">
        <v>0</v>
      </c>
      <c r="L25" s="9">
        <v>3</v>
      </c>
      <c r="M25" s="9">
        <v>0</v>
      </c>
      <c r="N25" s="18">
        <f t="shared" si="0"/>
        <v>3</v>
      </c>
      <c r="O25" s="21">
        <v>16722</v>
      </c>
      <c r="P25" s="18">
        <f t="shared" si="1"/>
        <v>17.94043774668102</v>
      </c>
    </row>
    <row r="26" spans="1:16" ht="14.25" customHeight="1">
      <c r="A26" s="11">
        <v>320316</v>
      </c>
      <c r="B26" s="11" t="s">
        <v>337</v>
      </c>
      <c r="C26" s="8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23"/>
      <c r="J26" s="9">
        <v>0</v>
      </c>
      <c r="K26" s="9">
        <v>0</v>
      </c>
      <c r="L26" s="9">
        <v>1</v>
      </c>
      <c r="M26" s="9">
        <v>0</v>
      </c>
      <c r="N26" s="18">
        <f t="shared" si="0"/>
        <v>1</v>
      </c>
      <c r="O26" s="21">
        <v>10933</v>
      </c>
      <c r="P26" s="18">
        <f t="shared" si="1"/>
        <v>9.1466203237903585</v>
      </c>
    </row>
    <row r="27" spans="1:16" ht="14.25" customHeight="1">
      <c r="A27" s="11">
        <v>320320</v>
      </c>
      <c r="B27" s="11" t="s">
        <v>338</v>
      </c>
      <c r="C27" s="8">
        <v>4</v>
      </c>
      <c r="D27" s="9">
        <v>5</v>
      </c>
      <c r="E27" s="9">
        <v>6</v>
      </c>
      <c r="F27" s="9">
        <v>3</v>
      </c>
      <c r="G27" s="9">
        <v>0</v>
      </c>
      <c r="H27" s="9">
        <v>0</v>
      </c>
      <c r="I27" s="23"/>
      <c r="J27" s="9">
        <v>0</v>
      </c>
      <c r="K27" s="9">
        <v>0</v>
      </c>
      <c r="L27" s="9">
        <v>27</v>
      </c>
      <c r="M27" s="9">
        <v>2</v>
      </c>
      <c r="N27" s="18">
        <f t="shared" si="0"/>
        <v>47</v>
      </c>
      <c r="O27" s="21">
        <v>176688</v>
      </c>
      <c r="P27" s="18">
        <f t="shared" si="1"/>
        <v>26.600561441637236</v>
      </c>
    </row>
    <row r="28" spans="1:16" ht="14.25" customHeight="1">
      <c r="A28" s="11">
        <v>320330</v>
      </c>
      <c r="B28" s="11" t="s">
        <v>339</v>
      </c>
      <c r="C28" s="8">
        <v>2</v>
      </c>
      <c r="D28" s="9">
        <v>1</v>
      </c>
      <c r="E28" s="9">
        <v>0</v>
      </c>
      <c r="F28" s="9">
        <v>0</v>
      </c>
      <c r="G28" s="9">
        <v>0</v>
      </c>
      <c r="H28" s="9">
        <v>0</v>
      </c>
      <c r="I28" s="23"/>
      <c r="J28" s="9">
        <v>0</v>
      </c>
      <c r="K28" s="9">
        <v>0</v>
      </c>
      <c r="L28" s="9">
        <v>0</v>
      </c>
      <c r="M28" s="9">
        <v>0</v>
      </c>
      <c r="N28" s="18">
        <f t="shared" si="0"/>
        <v>3</v>
      </c>
      <c r="O28" s="21">
        <v>15503</v>
      </c>
      <c r="P28" s="18">
        <f t="shared" si="1"/>
        <v>19.351093336773527</v>
      </c>
    </row>
    <row r="29" spans="1:16" ht="14.25" customHeight="1">
      <c r="A29" s="11">
        <v>320335</v>
      </c>
      <c r="B29" s="11" t="s">
        <v>340</v>
      </c>
      <c r="C29" s="8">
        <v>0</v>
      </c>
      <c r="D29" s="9">
        <v>1</v>
      </c>
      <c r="E29" s="9">
        <v>0</v>
      </c>
      <c r="F29" s="9">
        <v>0</v>
      </c>
      <c r="G29" s="9">
        <v>0</v>
      </c>
      <c r="H29" s="9">
        <v>0</v>
      </c>
      <c r="I29" s="23"/>
      <c r="J29" s="9">
        <v>0</v>
      </c>
      <c r="K29" s="9">
        <v>0</v>
      </c>
      <c r="L29" s="9">
        <v>0</v>
      </c>
      <c r="M29" s="9">
        <v>0</v>
      </c>
      <c r="N29" s="18">
        <f t="shared" si="0"/>
        <v>1</v>
      </c>
      <c r="O29" s="21">
        <v>12963</v>
      </c>
      <c r="P29" s="18">
        <f t="shared" si="1"/>
        <v>7.7142636735323604</v>
      </c>
    </row>
    <row r="30" spans="1:16" ht="14.25" customHeight="1">
      <c r="A30" s="11">
        <v>320340</v>
      </c>
      <c r="B30" s="11" t="s">
        <v>341</v>
      </c>
      <c r="C30" s="8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23"/>
      <c r="J30" s="9">
        <v>0</v>
      </c>
      <c r="K30" s="9">
        <v>0</v>
      </c>
      <c r="L30" s="9">
        <v>1</v>
      </c>
      <c r="M30" s="9">
        <v>0</v>
      </c>
      <c r="N30" s="18">
        <f t="shared" si="0"/>
        <v>1</v>
      </c>
      <c r="O30" s="21">
        <v>26115</v>
      </c>
      <c r="P30" s="18">
        <f t="shared" si="1"/>
        <v>3.8292169251388088</v>
      </c>
    </row>
    <row r="31" spans="1:16" ht="14.25" customHeight="1">
      <c r="A31" s="11">
        <v>320350</v>
      </c>
      <c r="B31" s="11" t="s">
        <v>342</v>
      </c>
      <c r="C31" s="8">
        <v>1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23"/>
      <c r="J31" s="9">
        <v>0</v>
      </c>
      <c r="K31" s="9">
        <v>0</v>
      </c>
      <c r="L31" s="9">
        <v>1</v>
      </c>
      <c r="M31" s="9">
        <v>0</v>
      </c>
      <c r="N31" s="18">
        <f t="shared" si="0"/>
        <v>2</v>
      </c>
      <c r="O31" s="21">
        <v>18894</v>
      </c>
      <c r="P31" s="18">
        <f t="shared" si="1"/>
        <v>10.585371017254154</v>
      </c>
    </row>
    <row r="32" spans="1:16" ht="14.25" customHeight="1">
      <c r="A32" s="11">
        <v>320370</v>
      </c>
      <c r="B32" s="11" t="s">
        <v>343</v>
      </c>
      <c r="C32" s="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23"/>
      <c r="J32" s="9">
        <v>0</v>
      </c>
      <c r="K32" s="9">
        <v>0</v>
      </c>
      <c r="L32" s="9">
        <v>0</v>
      </c>
      <c r="M32" s="9">
        <v>1</v>
      </c>
      <c r="N32" s="18">
        <f t="shared" si="0"/>
        <v>1</v>
      </c>
      <c r="O32" s="21">
        <v>17319</v>
      </c>
      <c r="P32" s="18">
        <f t="shared" si="1"/>
        <v>5.7740054275651014</v>
      </c>
    </row>
    <row r="33" spans="1:16" ht="14.25" customHeight="1">
      <c r="A33" s="11">
        <v>320390</v>
      </c>
      <c r="B33" s="11" t="s">
        <v>344</v>
      </c>
      <c r="C33" s="8">
        <v>0</v>
      </c>
      <c r="D33" s="9">
        <v>0</v>
      </c>
      <c r="E33" s="9">
        <v>3</v>
      </c>
      <c r="F33" s="9">
        <v>2</v>
      </c>
      <c r="G33" s="9">
        <v>0</v>
      </c>
      <c r="H33" s="9">
        <v>0</v>
      </c>
      <c r="I33" s="23"/>
      <c r="J33" s="9">
        <v>0</v>
      </c>
      <c r="K33" s="9">
        <v>0</v>
      </c>
      <c r="L33" s="9">
        <v>0</v>
      </c>
      <c r="M33" s="9">
        <v>0</v>
      </c>
      <c r="N33" s="18">
        <f t="shared" si="0"/>
        <v>5</v>
      </c>
      <c r="O33" s="21">
        <v>50434</v>
      </c>
      <c r="P33" s="18">
        <f t="shared" si="1"/>
        <v>9.9139469405559737</v>
      </c>
    </row>
    <row r="34" spans="1:16" ht="14.25" customHeight="1">
      <c r="A34" s="11">
        <v>320400</v>
      </c>
      <c r="B34" s="11" t="s">
        <v>345</v>
      </c>
      <c r="C34" s="8">
        <v>0</v>
      </c>
      <c r="D34" s="9">
        <v>1</v>
      </c>
      <c r="E34" s="9">
        <v>0</v>
      </c>
      <c r="F34" s="9">
        <v>0</v>
      </c>
      <c r="G34" s="9">
        <v>0</v>
      </c>
      <c r="H34" s="9">
        <v>0</v>
      </c>
      <c r="I34" s="23"/>
      <c r="J34" s="9">
        <v>0</v>
      </c>
      <c r="K34" s="9">
        <v>0</v>
      </c>
      <c r="L34" s="9">
        <v>0</v>
      </c>
      <c r="M34" s="9">
        <v>0</v>
      </c>
      <c r="N34" s="18">
        <f t="shared" si="0"/>
        <v>1</v>
      </c>
      <c r="O34" s="21">
        <v>23306</v>
      </c>
      <c r="P34" s="18">
        <f t="shared" si="1"/>
        <v>4.2907405818244229</v>
      </c>
    </row>
    <row r="35" spans="1:16" ht="14.25" customHeight="1">
      <c r="A35" s="11">
        <v>320405</v>
      </c>
      <c r="B35" s="11" t="s">
        <v>346</v>
      </c>
      <c r="C35" s="8">
        <v>27</v>
      </c>
      <c r="D35" s="9">
        <v>4</v>
      </c>
      <c r="E35" s="9">
        <v>1</v>
      </c>
      <c r="F35" s="9">
        <v>0</v>
      </c>
      <c r="G35" s="9">
        <v>0</v>
      </c>
      <c r="H35" s="9">
        <v>0</v>
      </c>
      <c r="I35" s="23"/>
      <c r="J35" s="9">
        <v>0</v>
      </c>
      <c r="K35" s="9">
        <v>0</v>
      </c>
      <c r="L35" s="9">
        <v>0</v>
      </c>
      <c r="M35" s="9">
        <v>0</v>
      </c>
      <c r="N35" s="18">
        <f t="shared" si="0"/>
        <v>32</v>
      </c>
      <c r="O35" s="21">
        <v>26381</v>
      </c>
      <c r="P35" s="18">
        <f t="shared" si="1"/>
        <v>121.29942003714794</v>
      </c>
    </row>
    <row r="36" spans="1:16" ht="14.25" customHeight="1">
      <c r="A36" s="11">
        <v>320410</v>
      </c>
      <c r="B36" s="11" t="s">
        <v>347</v>
      </c>
      <c r="C36" s="8">
        <v>0</v>
      </c>
      <c r="D36" s="9">
        <v>0</v>
      </c>
      <c r="E36" s="9">
        <v>1</v>
      </c>
      <c r="F36" s="9">
        <v>2</v>
      </c>
      <c r="G36" s="9">
        <v>0</v>
      </c>
      <c r="H36" s="9">
        <v>0</v>
      </c>
      <c r="I36" s="23"/>
      <c r="J36" s="9">
        <v>0</v>
      </c>
      <c r="K36" s="9">
        <v>0</v>
      </c>
      <c r="L36" s="9">
        <v>1</v>
      </c>
      <c r="M36" s="9">
        <v>9</v>
      </c>
      <c r="N36" s="18">
        <f t="shared" si="0"/>
        <v>13</v>
      </c>
      <c r="O36" s="21">
        <v>27327</v>
      </c>
      <c r="P36" s="18">
        <f t="shared" si="1"/>
        <v>47.571998389870821</v>
      </c>
    </row>
    <row r="37" spans="1:16" ht="14.25" customHeight="1">
      <c r="A37" s="11">
        <v>320420</v>
      </c>
      <c r="B37" s="11" t="s">
        <v>348</v>
      </c>
      <c r="C37" s="8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23"/>
      <c r="J37" s="9">
        <v>0</v>
      </c>
      <c r="K37" s="9">
        <v>0</v>
      </c>
      <c r="L37" s="9">
        <v>2</v>
      </c>
      <c r="M37" s="9">
        <v>2</v>
      </c>
      <c r="N37" s="18">
        <f t="shared" si="0"/>
        <v>4</v>
      </c>
      <c r="O37" s="21">
        <v>22053</v>
      </c>
      <c r="P37" s="18">
        <f t="shared" si="1"/>
        <v>18.138121797487869</v>
      </c>
    </row>
    <row r="38" spans="1:16" ht="14.25" customHeight="1">
      <c r="A38" s="11">
        <v>320425</v>
      </c>
      <c r="B38" s="11" t="s">
        <v>349</v>
      </c>
      <c r="C38" s="8">
        <v>0</v>
      </c>
      <c r="D38" s="9">
        <v>8</v>
      </c>
      <c r="E38" s="9">
        <v>1</v>
      </c>
      <c r="F38" s="9">
        <v>0</v>
      </c>
      <c r="G38" s="9">
        <v>0</v>
      </c>
      <c r="H38" s="9">
        <v>0</v>
      </c>
      <c r="I38" s="23"/>
      <c r="J38" s="9">
        <v>0</v>
      </c>
      <c r="K38" s="9">
        <v>0</v>
      </c>
      <c r="L38" s="9">
        <v>0</v>
      </c>
      <c r="M38" s="9">
        <v>0</v>
      </c>
      <c r="N38" s="18">
        <f t="shared" si="0"/>
        <v>9</v>
      </c>
      <c r="O38" s="21">
        <v>7940</v>
      </c>
      <c r="P38" s="18">
        <f t="shared" si="1"/>
        <v>113.35012594458438</v>
      </c>
    </row>
    <row r="39" spans="1:16" ht="14.25" customHeight="1">
      <c r="A39" s="11">
        <v>320435</v>
      </c>
      <c r="B39" s="11" t="s">
        <v>350</v>
      </c>
      <c r="C39" s="8">
        <v>0</v>
      </c>
      <c r="D39" s="9">
        <v>1</v>
      </c>
      <c r="E39" s="9">
        <v>0</v>
      </c>
      <c r="F39" s="9">
        <v>0</v>
      </c>
      <c r="G39" s="9">
        <v>0</v>
      </c>
      <c r="H39" s="9">
        <v>0</v>
      </c>
      <c r="I39" s="23"/>
      <c r="J39" s="9">
        <v>0</v>
      </c>
      <c r="K39" s="9">
        <v>0</v>
      </c>
      <c r="L39" s="9">
        <v>1</v>
      </c>
      <c r="M39" s="9">
        <v>2</v>
      </c>
      <c r="N39" s="18">
        <f t="shared" si="0"/>
        <v>4</v>
      </c>
      <c r="O39" s="21">
        <v>19271</v>
      </c>
      <c r="P39" s="18">
        <f t="shared" si="1"/>
        <v>20.756577240413055</v>
      </c>
    </row>
    <row r="40" spans="1:16" ht="14.25" customHeight="1">
      <c r="A40" s="11">
        <v>320440</v>
      </c>
      <c r="B40" s="11" t="s">
        <v>351</v>
      </c>
      <c r="C40" s="8">
        <v>0</v>
      </c>
      <c r="D40" s="9">
        <v>0</v>
      </c>
      <c r="E40" s="9">
        <v>1</v>
      </c>
      <c r="F40" s="9">
        <v>0</v>
      </c>
      <c r="G40" s="9">
        <v>0</v>
      </c>
      <c r="H40" s="9">
        <v>0</v>
      </c>
      <c r="I40" s="23"/>
      <c r="J40" s="9">
        <v>0</v>
      </c>
      <c r="K40" s="9">
        <v>0</v>
      </c>
      <c r="L40" s="9">
        <v>0</v>
      </c>
      <c r="M40" s="9">
        <v>0</v>
      </c>
      <c r="N40" s="18">
        <f t="shared" si="0"/>
        <v>1</v>
      </c>
      <c r="O40" s="21">
        <v>11626</v>
      </c>
      <c r="P40" s="18">
        <f t="shared" si="1"/>
        <v>8.6014106313435406</v>
      </c>
    </row>
    <row r="41" spans="1:16" ht="14.25" customHeight="1">
      <c r="A41" s="11">
        <v>320450</v>
      </c>
      <c r="B41" s="11" t="s">
        <v>352</v>
      </c>
      <c r="C41" s="8">
        <v>0</v>
      </c>
      <c r="D41" s="9">
        <v>0</v>
      </c>
      <c r="E41" s="9">
        <v>6</v>
      </c>
      <c r="F41" s="9">
        <v>0</v>
      </c>
      <c r="G41" s="9">
        <v>0</v>
      </c>
      <c r="H41" s="9">
        <v>0</v>
      </c>
      <c r="I41" s="23"/>
      <c r="J41" s="9">
        <v>0</v>
      </c>
      <c r="K41" s="9">
        <v>0</v>
      </c>
      <c r="L41" s="9">
        <v>0</v>
      </c>
      <c r="M41" s="9">
        <v>0</v>
      </c>
      <c r="N41" s="18">
        <f t="shared" si="0"/>
        <v>6</v>
      </c>
      <c r="O41" s="21">
        <v>12197</v>
      </c>
      <c r="P41" s="18">
        <f t="shared" si="1"/>
        <v>49.192424366647536</v>
      </c>
    </row>
    <row r="42" spans="1:16" ht="14.25" customHeight="1">
      <c r="A42" s="11">
        <v>320455</v>
      </c>
      <c r="B42" s="11" t="s">
        <v>353</v>
      </c>
      <c r="C42" s="8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23"/>
      <c r="J42" s="9">
        <v>0</v>
      </c>
      <c r="K42" s="9">
        <v>0</v>
      </c>
      <c r="L42" s="9">
        <v>0</v>
      </c>
      <c r="M42" s="9">
        <v>0</v>
      </c>
      <c r="N42" s="18">
        <f t="shared" si="0"/>
        <v>0</v>
      </c>
      <c r="O42" s="21">
        <v>41015</v>
      </c>
      <c r="P42" s="18">
        <f t="shared" si="1"/>
        <v>0</v>
      </c>
    </row>
    <row r="43" spans="1:16" ht="14.25" customHeight="1">
      <c r="A43" s="11">
        <v>320465</v>
      </c>
      <c r="B43" s="11" t="s">
        <v>354</v>
      </c>
      <c r="C43" s="8">
        <v>2</v>
      </c>
      <c r="D43" s="9">
        <v>1</v>
      </c>
      <c r="E43" s="9">
        <v>0</v>
      </c>
      <c r="F43" s="9">
        <v>0</v>
      </c>
      <c r="G43" s="9">
        <v>0</v>
      </c>
      <c r="H43" s="9">
        <v>0</v>
      </c>
      <c r="I43" s="23"/>
      <c r="J43" s="9">
        <v>0</v>
      </c>
      <c r="K43" s="9">
        <v>0</v>
      </c>
      <c r="L43" s="9">
        <v>0</v>
      </c>
      <c r="M43" s="9">
        <v>0</v>
      </c>
      <c r="N43" s="18">
        <f t="shared" si="0"/>
        <v>3</v>
      </c>
      <c r="O43" s="21">
        <v>8687</v>
      </c>
      <c r="P43" s="18">
        <f t="shared" si="1"/>
        <v>34.534361689881436</v>
      </c>
    </row>
    <row r="44" spans="1:16" ht="14.25" customHeight="1">
      <c r="A44" s="11">
        <v>320470</v>
      </c>
      <c r="B44" s="11" t="s">
        <v>355</v>
      </c>
      <c r="C44" s="8">
        <v>4</v>
      </c>
      <c r="D44" s="9">
        <v>4</v>
      </c>
      <c r="E44" s="9">
        <v>1</v>
      </c>
      <c r="F44" s="9">
        <v>8</v>
      </c>
      <c r="G44" s="9">
        <v>1</v>
      </c>
      <c r="H44" s="9">
        <v>0</v>
      </c>
      <c r="I44" s="23"/>
      <c r="J44" s="9">
        <v>0</v>
      </c>
      <c r="K44" s="9">
        <v>0</v>
      </c>
      <c r="L44" s="9">
        <v>0</v>
      </c>
      <c r="M44" s="9">
        <v>3</v>
      </c>
      <c r="N44" s="18">
        <f t="shared" si="0"/>
        <v>21</v>
      </c>
      <c r="O44" s="21">
        <v>38522</v>
      </c>
      <c r="P44" s="18">
        <f t="shared" si="1"/>
        <v>54.514303514874619</v>
      </c>
    </row>
    <row r="45" spans="1:16" ht="14.25" customHeight="1">
      <c r="A45" s="11">
        <v>320490</v>
      </c>
      <c r="B45" s="11" t="s">
        <v>356</v>
      </c>
      <c r="C45" s="8">
        <v>10</v>
      </c>
      <c r="D45" s="9">
        <v>6</v>
      </c>
      <c r="E45" s="9">
        <v>16</v>
      </c>
      <c r="F45" s="9">
        <v>6</v>
      </c>
      <c r="G45" s="9">
        <v>0</v>
      </c>
      <c r="H45" s="9">
        <v>0</v>
      </c>
      <c r="I45" s="23"/>
      <c r="J45" s="9">
        <v>0</v>
      </c>
      <c r="K45" s="9">
        <v>0</v>
      </c>
      <c r="L45" s="9">
        <v>4</v>
      </c>
      <c r="M45" s="9">
        <v>0</v>
      </c>
      <c r="N45" s="18">
        <f t="shared" si="0"/>
        <v>42</v>
      </c>
      <c r="O45" s="21">
        <v>132642</v>
      </c>
      <c r="P45" s="18">
        <f t="shared" si="1"/>
        <v>31.664178766906407</v>
      </c>
    </row>
    <row r="46" spans="1:16" ht="14.25" customHeight="1">
      <c r="A46" s="11">
        <v>320495</v>
      </c>
      <c r="B46" s="11" t="s">
        <v>357</v>
      </c>
      <c r="C46" s="8">
        <v>2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23"/>
      <c r="J46" s="9">
        <v>0</v>
      </c>
      <c r="K46" s="9">
        <v>0</v>
      </c>
      <c r="L46" s="9">
        <v>3</v>
      </c>
      <c r="M46" s="9">
        <v>0</v>
      </c>
      <c r="N46" s="18">
        <f t="shared" si="0"/>
        <v>5</v>
      </c>
      <c r="O46" s="21">
        <v>12510</v>
      </c>
      <c r="P46" s="18">
        <f t="shared" si="1"/>
        <v>39.968025579536373</v>
      </c>
    </row>
    <row r="47" spans="1:16" ht="14.25" customHeight="1">
      <c r="A47" s="11">
        <v>320500</v>
      </c>
      <c r="B47" s="11" t="s">
        <v>358</v>
      </c>
      <c r="C47" s="8">
        <v>7</v>
      </c>
      <c r="D47" s="9">
        <v>7</v>
      </c>
      <c r="E47" s="9">
        <v>10</v>
      </c>
      <c r="F47" s="9">
        <v>12</v>
      </c>
      <c r="G47" s="9">
        <v>5</v>
      </c>
      <c r="H47" s="9">
        <v>1</v>
      </c>
      <c r="I47" s="23"/>
      <c r="J47" s="9">
        <v>0</v>
      </c>
      <c r="K47" s="9">
        <v>1</v>
      </c>
      <c r="L47" s="9">
        <v>10</v>
      </c>
      <c r="M47" s="9">
        <v>2</v>
      </c>
      <c r="N47" s="18">
        <f t="shared" si="0"/>
        <v>55</v>
      </c>
      <c r="O47" s="21">
        <v>527240</v>
      </c>
      <c r="P47" s="18">
        <f t="shared" si="1"/>
        <v>10.431681966466885</v>
      </c>
    </row>
    <row r="48" spans="1:16" ht="14.25" customHeight="1">
      <c r="A48" s="11">
        <v>320503</v>
      </c>
      <c r="B48" s="11" t="s">
        <v>359</v>
      </c>
      <c r="C48" s="8">
        <v>2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23"/>
      <c r="J48" s="9">
        <v>0</v>
      </c>
      <c r="K48" s="9">
        <v>0</v>
      </c>
      <c r="L48" s="9">
        <v>0</v>
      </c>
      <c r="M48" s="9">
        <v>0</v>
      </c>
      <c r="N48" s="18">
        <f t="shared" si="0"/>
        <v>2</v>
      </c>
      <c r="O48" s="21">
        <v>21591</v>
      </c>
      <c r="P48" s="18">
        <f t="shared" si="1"/>
        <v>9.2631188921309811</v>
      </c>
    </row>
    <row r="49" spans="1:16" ht="14.25" customHeight="1">
      <c r="A49" s="11">
        <v>320506</v>
      </c>
      <c r="B49" s="11" t="s">
        <v>360</v>
      </c>
      <c r="C49" s="8">
        <v>1</v>
      </c>
      <c r="D49" s="9">
        <v>0</v>
      </c>
      <c r="E49" s="9">
        <v>1</v>
      </c>
      <c r="F49" s="9">
        <v>0</v>
      </c>
      <c r="G49" s="9">
        <v>0</v>
      </c>
      <c r="H49" s="9">
        <v>0</v>
      </c>
      <c r="I49" s="23"/>
      <c r="J49" s="9">
        <v>0</v>
      </c>
      <c r="K49" s="9">
        <v>0</v>
      </c>
      <c r="L49" s="9">
        <v>3</v>
      </c>
      <c r="M49" s="9">
        <v>0</v>
      </c>
      <c r="N49" s="18">
        <f t="shared" si="0"/>
        <v>5</v>
      </c>
      <c r="O49" s="21">
        <v>25745</v>
      </c>
      <c r="P49" s="18">
        <f t="shared" si="1"/>
        <v>19.421246844047388</v>
      </c>
    </row>
    <row r="50" spans="1:16" ht="14.25" customHeight="1">
      <c r="A50" s="11">
        <v>320510</v>
      </c>
      <c r="B50" s="11" t="s">
        <v>361</v>
      </c>
      <c r="C50" s="8">
        <v>0</v>
      </c>
      <c r="D50" s="9">
        <v>3</v>
      </c>
      <c r="E50" s="9">
        <v>0</v>
      </c>
      <c r="F50" s="9">
        <v>0</v>
      </c>
      <c r="G50" s="9">
        <v>0</v>
      </c>
      <c r="H50" s="9">
        <v>0</v>
      </c>
      <c r="I50" s="23"/>
      <c r="J50" s="9">
        <v>0</v>
      </c>
      <c r="K50" s="9">
        <v>0</v>
      </c>
      <c r="L50" s="9">
        <v>0</v>
      </c>
      <c r="M50" s="9">
        <v>0</v>
      </c>
      <c r="N50" s="18">
        <f t="shared" si="0"/>
        <v>3</v>
      </c>
      <c r="O50" s="21">
        <v>79500</v>
      </c>
      <c r="P50" s="18">
        <f t="shared" si="1"/>
        <v>3.7735849056603774</v>
      </c>
    </row>
    <row r="51" spans="1:16" ht="14.25" customHeight="1">
      <c r="A51" s="11">
        <v>320515</v>
      </c>
      <c r="B51" s="11" t="s">
        <v>362</v>
      </c>
      <c r="C51" s="8">
        <v>1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23"/>
      <c r="J51" s="9">
        <v>0</v>
      </c>
      <c r="K51" s="9">
        <v>0</v>
      </c>
      <c r="L51" s="9">
        <v>0</v>
      </c>
      <c r="M51" s="9">
        <v>0</v>
      </c>
      <c r="N51" s="18">
        <f t="shared" si="0"/>
        <v>1</v>
      </c>
      <c r="O51" s="21">
        <v>9244</v>
      </c>
      <c r="P51" s="18">
        <f t="shared" si="1"/>
        <v>10.817827780181739</v>
      </c>
    </row>
    <row r="52" spans="1:16" ht="14.25" customHeight="1">
      <c r="A52" s="11">
        <v>320520</v>
      </c>
      <c r="B52" s="11" t="s">
        <v>363</v>
      </c>
      <c r="C52" s="8">
        <v>18</v>
      </c>
      <c r="D52" s="9">
        <v>7</v>
      </c>
      <c r="E52" s="9">
        <v>4</v>
      </c>
      <c r="F52" s="9">
        <v>10</v>
      </c>
      <c r="G52" s="9">
        <v>1</v>
      </c>
      <c r="H52" s="9">
        <v>1</v>
      </c>
      <c r="I52" s="23"/>
      <c r="J52" s="9">
        <v>0</v>
      </c>
      <c r="K52" s="9">
        <v>1</v>
      </c>
      <c r="L52" s="9">
        <v>15</v>
      </c>
      <c r="M52" s="9">
        <v>1</v>
      </c>
      <c r="N52" s="18">
        <f t="shared" si="0"/>
        <v>58</v>
      </c>
      <c r="O52" s="21">
        <v>501325</v>
      </c>
      <c r="P52" s="18">
        <f t="shared" si="1"/>
        <v>11.569341245698897</v>
      </c>
    </row>
    <row r="53" spans="1:16" ht="14.25" customHeight="1">
      <c r="A53" s="11">
        <v>320530</v>
      </c>
      <c r="B53" s="11" t="s">
        <v>364</v>
      </c>
      <c r="C53" s="8">
        <v>16</v>
      </c>
      <c r="D53" s="9">
        <v>10</v>
      </c>
      <c r="E53" s="9">
        <v>8</v>
      </c>
      <c r="F53" s="9">
        <v>4</v>
      </c>
      <c r="G53" s="9">
        <v>5</v>
      </c>
      <c r="H53" s="9">
        <v>1</v>
      </c>
      <c r="I53" s="23"/>
      <c r="J53" s="9">
        <v>0</v>
      </c>
      <c r="K53" s="9">
        <v>2</v>
      </c>
      <c r="L53" s="9">
        <v>9</v>
      </c>
      <c r="M53" s="9">
        <v>0</v>
      </c>
      <c r="N53" s="18">
        <f t="shared" si="0"/>
        <v>55</v>
      </c>
      <c r="O53" s="21">
        <v>365855</v>
      </c>
      <c r="P53" s="18">
        <f t="shared" si="1"/>
        <v>15.033278211313224</v>
      </c>
    </row>
    <row r="54" spans="1:16" ht="14.25" customHeight="1">
      <c r="N54" s="18"/>
    </row>
    <row r="55" spans="1:16" ht="14.25" customHeight="1"/>
    <row r="56" spans="1:16" ht="14.25" customHeight="1"/>
    <row r="57" spans="1:16" ht="14.25" customHeight="1"/>
    <row r="58" spans="1:16" ht="14.25" customHeight="1"/>
    <row r="59" spans="1:16" ht="14.25" customHeight="1"/>
    <row r="60" spans="1:16" ht="14.25" customHeight="1"/>
    <row r="61" spans="1:16" ht="14.25" customHeight="1"/>
    <row r="62" spans="1:16" ht="14.25" customHeight="1"/>
    <row r="63" spans="1:16" ht="14.25" customHeight="1"/>
    <row r="64" spans="1:1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/>
  </sheetViews>
  <sheetFormatPr defaultColWidth="14.44140625" defaultRowHeight="15" customHeight="1"/>
  <cols>
    <col min="1" max="1" width="12.88671875" customWidth="1"/>
    <col min="2" max="2" width="23.5546875" customWidth="1"/>
    <col min="3" max="14" width="8.6640625" customWidth="1"/>
    <col min="15" max="15" width="12.88671875" customWidth="1"/>
    <col min="16" max="16" width="14" customWidth="1"/>
    <col min="17" max="26" width="8.6640625" customWidth="1"/>
  </cols>
  <sheetData>
    <row r="1" spans="1:16" ht="14.25" customHeight="1">
      <c r="A1" s="3" t="s">
        <v>0</v>
      </c>
      <c r="B1" s="3" t="s">
        <v>259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 t="s">
        <v>2</v>
      </c>
      <c r="O1" s="5" t="s">
        <v>3</v>
      </c>
      <c r="P1" s="3" t="s">
        <v>4</v>
      </c>
    </row>
    <row r="2" spans="1:16" ht="14.25" customHeight="1">
      <c r="A2" s="11">
        <v>310020</v>
      </c>
      <c r="B2" s="11" t="s">
        <v>365</v>
      </c>
      <c r="C2" s="15">
        <v>0</v>
      </c>
      <c r="D2" s="16">
        <v>0</v>
      </c>
      <c r="E2" s="16">
        <v>0</v>
      </c>
      <c r="F2" s="16">
        <v>0</v>
      </c>
      <c r="G2" s="16">
        <v>1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8">
        <f t="shared" ref="N2:N308" si="0">SUM(C2:M2)</f>
        <v>1</v>
      </c>
      <c r="O2" s="24">
        <v>23250</v>
      </c>
      <c r="P2" s="18">
        <f t="shared" ref="P2:P308" si="1">N2/O2*100000</f>
        <v>4.301075268817204</v>
      </c>
    </row>
    <row r="3" spans="1:16" ht="14.25" customHeight="1">
      <c r="A3" s="11">
        <v>310030</v>
      </c>
      <c r="B3" s="11" t="s">
        <v>366</v>
      </c>
      <c r="C3" s="8">
        <v>0</v>
      </c>
      <c r="D3" s="9">
        <v>0</v>
      </c>
      <c r="E3" s="9">
        <v>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18">
        <f t="shared" si="0"/>
        <v>1</v>
      </c>
      <c r="O3" s="24">
        <v>13444</v>
      </c>
      <c r="P3" s="18">
        <f t="shared" si="1"/>
        <v>7.4382624218982443</v>
      </c>
    </row>
    <row r="4" spans="1:16" ht="14.25" customHeight="1">
      <c r="A4" s="11">
        <v>310040</v>
      </c>
      <c r="B4" s="11" t="s">
        <v>367</v>
      </c>
      <c r="C4" s="8">
        <v>0</v>
      </c>
      <c r="D4" s="9">
        <v>0</v>
      </c>
      <c r="E4" s="9">
        <v>0</v>
      </c>
      <c r="F4" s="9">
        <v>2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18">
        <f t="shared" si="0"/>
        <v>2</v>
      </c>
      <c r="O4" s="24">
        <v>3994</v>
      </c>
      <c r="P4" s="18">
        <f t="shared" si="1"/>
        <v>50.075112669003502</v>
      </c>
    </row>
    <row r="5" spans="1:16" ht="14.25" customHeight="1">
      <c r="A5" s="11">
        <v>310080</v>
      </c>
      <c r="B5" s="11" t="s">
        <v>368</v>
      </c>
      <c r="C5" s="8">
        <v>0</v>
      </c>
      <c r="D5" s="9">
        <v>0</v>
      </c>
      <c r="E5" s="9">
        <v>0</v>
      </c>
      <c r="F5" s="9">
        <v>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18">
        <f t="shared" si="0"/>
        <v>2</v>
      </c>
      <c r="O5" s="24">
        <v>4522</v>
      </c>
      <c r="P5" s="18">
        <f t="shared" si="1"/>
        <v>44.228217602830611</v>
      </c>
    </row>
    <row r="6" spans="1:16" ht="14.25" customHeight="1">
      <c r="A6" s="11">
        <v>310090</v>
      </c>
      <c r="B6" s="11" t="s">
        <v>369</v>
      </c>
      <c r="C6" s="8">
        <v>1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18">
        <f t="shared" si="0"/>
        <v>1</v>
      </c>
      <c r="O6" s="24">
        <v>19247</v>
      </c>
      <c r="P6" s="18">
        <f t="shared" si="1"/>
        <v>5.1956149010235357</v>
      </c>
    </row>
    <row r="7" spans="1:16" ht="14.25" customHeight="1">
      <c r="A7" s="11">
        <v>310110</v>
      </c>
      <c r="B7" s="11" t="s">
        <v>370</v>
      </c>
      <c r="C7" s="8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</v>
      </c>
      <c r="M7" s="9">
        <v>0</v>
      </c>
      <c r="N7" s="18">
        <f t="shared" si="0"/>
        <v>1</v>
      </c>
      <c r="O7" s="24">
        <v>25141</v>
      </c>
      <c r="P7" s="18">
        <f t="shared" si="1"/>
        <v>3.9775665248001277</v>
      </c>
    </row>
    <row r="8" spans="1:16" ht="14.25" customHeight="1">
      <c r="A8" s="11">
        <v>310150</v>
      </c>
      <c r="B8" s="11" t="s">
        <v>371</v>
      </c>
      <c r="C8" s="8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18">
        <f t="shared" si="0"/>
        <v>1</v>
      </c>
      <c r="O8" s="24">
        <v>35401</v>
      </c>
      <c r="P8" s="18">
        <f t="shared" si="1"/>
        <v>2.8247789610462983</v>
      </c>
    </row>
    <row r="9" spans="1:16" ht="14.25" customHeight="1">
      <c r="A9" s="11">
        <v>310160</v>
      </c>
      <c r="B9" s="11" t="s">
        <v>372</v>
      </c>
      <c r="C9" s="8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18">
        <f t="shared" si="0"/>
        <v>2</v>
      </c>
      <c r="O9" s="24">
        <v>80494</v>
      </c>
      <c r="P9" s="18">
        <f t="shared" si="1"/>
        <v>2.4846572415335304</v>
      </c>
    </row>
    <row r="10" spans="1:16" ht="14.25" customHeight="1">
      <c r="A10" s="11">
        <v>310210</v>
      </c>
      <c r="B10" s="11" t="s">
        <v>373</v>
      </c>
      <c r="C10" s="8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18">
        <f t="shared" si="0"/>
        <v>1</v>
      </c>
      <c r="O10" s="24">
        <v>8318</v>
      </c>
      <c r="P10" s="18">
        <f t="shared" si="1"/>
        <v>12.022120702091849</v>
      </c>
    </row>
    <row r="11" spans="1:16" ht="14.25" customHeight="1">
      <c r="A11" s="11">
        <v>310250</v>
      </c>
      <c r="B11" s="11" t="s">
        <v>374</v>
      </c>
      <c r="C11" s="8">
        <v>0</v>
      </c>
      <c r="D11" s="9">
        <v>0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18">
        <f t="shared" si="0"/>
        <v>1</v>
      </c>
      <c r="O11" s="24">
        <v>10835</v>
      </c>
      <c r="P11" s="18">
        <f t="shared" si="1"/>
        <v>9.2293493308721732</v>
      </c>
    </row>
    <row r="12" spans="1:16" ht="14.25" customHeight="1">
      <c r="A12" s="11">
        <v>310260</v>
      </c>
      <c r="B12" s="11" t="s">
        <v>375</v>
      </c>
      <c r="C12" s="8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1</v>
      </c>
      <c r="N12" s="18">
        <f t="shared" si="0"/>
        <v>1</v>
      </c>
      <c r="O12" s="24">
        <v>4676</v>
      </c>
      <c r="P12" s="18">
        <f t="shared" si="1"/>
        <v>21.385799828913601</v>
      </c>
    </row>
    <row r="13" spans="1:16" ht="14.25" customHeight="1">
      <c r="A13" s="11">
        <v>310300</v>
      </c>
      <c r="B13" s="11" t="s">
        <v>376</v>
      </c>
      <c r="C13" s="8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4</v>
      </c>
      <c r="M13" s="9">
        <v>4</v>
      </c>
      <c r="N13" s="18">
        <f t="shared" si="0"/>
        <v>8</v>
      </c>
      <c r="O13" s="24">
        <v>41396</v>
      </c>
      <c r="P13" s="18">
        <f t="shared" si="1"/>
        <v>19.325538699391245</v>
      </c>
    </row>
    <row r="14" spans="1:16" ht="14.25" customHeight="1">
      <c r="A14" s="11">
        <v>310350</v>
      </c>
      <c r="B14" s="11" t="s">
        <v>377</v>
      </c>
      <c r="C14" s="8">
        <v>1</v>
      </c>
      <c r="D14" s="9">
        <v>0</v>
      </c>
      <c r="E14" s="9">
        <v>0</v>
      </c>
      <c r="F14" s="9">
        <v>4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1</v>
      </c>
      <c r="M14" s="9">
        <v>6</v>
      </c>
      <c r="N14" s="18">
        <f t="shared" si="0"/>
        <v>12</v>
      </c>
      <c r="O14" s="24">
        <v>9240</v>
      </c>
      <c r="P14" s="18">
        <f t="shared" si="1"/>
        <v>129.87012987012986</v>
      </c>
    </row>
    <row r="15" spans="1:16" ht="14.25" customHeight="1">
      <c r="A15" s="11">
        <v>310375</v>
      </c>
      <c r="B15" s="11" t="s">
        <v>378</v>
      </c>
      <c r="C15" s="8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18">
        <f t="shared" si="0"/>
        <v>1</v>
      </c>
      <c r="O15" s="24">
        <v>117810</v>
      </c>
      <c r="P15" s="18">
        <f t="shared" si="1"/>
        <v>0.84882437823614298</v>
      </c>
    </row>
    <row r="16" spans="1:16" ht="14.25" customHeight="1">
      <c r="A16" s="11">
        <v>310400</v>
      </c>
      <c r="B16" s="11" t="s">
        <v>379</v>
      </c>
      <c r="C16" s="8">
        <v>0</v>
      </c>
      <c r="D16" s="9">
        <v>0</v>
      </c>
      <c r="E16" s="9">
        <v>0</v>
      </c>
      <c r="F16" s="9">
        <v>0</v>
      </c>
      <c r="G16" s="9">
        <v>3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18">
        <f t="shared" si="0"/>
        <v>3</v>
      </c>
      <c r="O16" s="24">
        <v>6914</v>
      </c>
      <c r="P16" s="18">
        <f t="shared" si="1"/>
        <v>43.390222736476716</v>
      </c>
    </row>
    <row r="17" spans="1:16" ht="14.25" customHeight="1">
      <c r="A17" s="11">
        <v>310410</v>
      </c>
      <c r="B17" s="11" t="s">
        <v>380</v>
      </c>
      <c r="C17" s="8">
        <v>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18">
        <f t="shared" si="0"/>
        <v>2</v>
      </c>
      <c r="O17" s="24">
        <v>107339</v>
      </c>
      <c r="P17" s="18">
        <f t="shared" si="1"/>
        <v>1.8632556666262963</v>
      </c>
    </row>
    <row r="18" spans="1:16" ht="14.25" customHeight="1">
      <c r="A18" s="11">
        <v>310420</v>
      </c>
      <c r="B18" s="11" t="s">
        <v>381</v>
      </c>
      <c r="C18" s="8">
        <v>2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18">
        <f t="shared" si="0"/>
        <v>2</v>
      </c>
      <c r="O18" s="24">
        <v>10957</v>
      </c>
      <c r="P18" s="18">
        <f t="shared" si="1"/>
        <v>18.253171488546133</v>
      </c>
    </row>
    <row r="19" spans="1:16" ht="14.25" customHeight="1">
      <c r="A19" s="11">
        <v>310430</v>
      </c>
      <c r="B19" s="11" t="s">
        <v>382</v>
      </c>
      <c r="C19" s="8">
        <v>0</v>
      </c>
      <c r="D19" s="9">
        <v>0</v>
      </c>
      <c r="E19" s="9">
        <v>0</v>
      </c>
      <c r="F19" s="9">
        <v>0</v>
      </c>
      <c r="G19" s="9">
        <v>2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18">
        <f t="shared" si="0"/>
        <v>2</v>
      </c>
      <c r="O19" s="24">
        <v>40380</v>
      </c>
      <c r="P19" s="18">
        <f t="shared" si="1"/>
        <v>4.9529470034670631</v>
      </c>
    </row>
    <row r="20" spans="1:16" ht="14.25" customHeight="1">
      <c r="A20" s="11">
        <v>310450</v>
      </c>
      <c r="B20" s="11" t="s">
        <v>383</v>
      </c>
      <c r="C20" s="8">
        <v>0</v>
      </c>
      <c r="D20" s="9">
        <v>0</v>
      </c>
      <c r="E20" s="9">
        <v>0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19">
        <f t="shared" si="0"/>
        <v>1</v>
      </c>
      <c r="O20" s="24">
        <v>15111</v>
      </c>
      <c r="P20" s="18">
        <f t="shared" si="1"/>
        <v>6.6176957183508707</v>
      </c>
    </row>
    <row r="21" spans="1:16" ht="14.25" customHeight="1">
      <c r="A21" s="11">
        <v>310460</v>
      </c>
      <c r="B21" s="11" t="s">
        <v>384</v>
      </c>
      <c r="C21" s="8">
        <v>0</v>
      </c>
      <c r="D21" s="9">
        <v>0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19">
        <f t="shared" si="0"/>
        <v>1</v>
      </c>
      <c r="O21" s="24">
        <v>17815</v>
      </c>
      <c r="P21" s="18">
        <f t="shared" si="1"/>
        <v>5.6132472635419592</v>
      </c>
    </row>
    <row r="22" spans="1:16" ht="14.25" customHeight="1">
      <c r="A22" s="11">
        <v>310480</v>
      </c>
      <c r="B22" s="11" t="s">
        <v>385</v>
      </c>
      <c r="C22" s="8">
        <v>1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19">
        <f t="shared" si="0"/>
        <v>1</v>
      </c>
      <c r="O22" s="24">
        <v>14244</v>
      </c>
      <c r="P22" s="18">
        <f t="shared" si="1"/>
        <v>7.0204998595900028</v>
      </c>
    </row>
    <row r="23" spans="1:16" ht="14.25" customHeight="1">
      <c r="A23" s="11">
        <v>310490</v>
      </c>
      <c r="B23" s="11" t="s">
        <v>386</v>
      </c>
      <c r="C23" s="8">
        <v>0</v>
      </c>
      <c r="D23" s="9">
        <v>0</v>
      </c>
      <c r="E23" s="9">
        <v>4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19">
        <f t="shared" si="0"/>
        <v>4</v>
      </c>
      <c r="O23" s="24">
        <v>4974</v>
      </c>
      <c r="P23" s="18">
        <f t="shared" si="1"/>
        <v>80.418174507438678</v>
      </c>
    </row>
    <row r="24" spans="1:16" ht="14.25" customHeight="1">
      <c r="A24" s="11">
        <v>310510</v>
      </c>
      <c r="B24" s="11" t="s">
        <v>387</v>
      </c>
      <c r="C24" s="8">
        <v>0</v>
      </c>
      <c r="D24" s="9">
        <v>0</v>
      </c>
      <c r="E24" s="9">
        <v>0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19">
        <f t="shared" si="0"/>
        <v>2</v>
      </c>
      <c r="O24" s="24">
        <v>19231</v>
      </c>
      <c r="P24" s="18">
        <f t="shared" si="1"/>
        <v>10.399875201497583</v>
      </c>
    </row>
    <row r="25" spans="1:16" ht="14.25" customHeight="1">
      <c r="A25" s="11">
        <v>310530</v>
      </c>
      <c r="B25" s="11" t="s">
        <v>388</v>
      </c>
      <c r="C25" s="8">
        <v>0</v>
      </c>
      <c r="D25" s="9">
        <v>4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19">
        <f t="shared" si="0"/>
        <v>4</v>
      </c>
      <c r="O25" s="24">
        <v>23855</v>
      </c>
      <c r="P25" s="18">
        <f t="shared" si="1"/>
        <v>16.767973171242925</v>
      </c>
    </row>
    <row r="26" spans="1:16" ht="14.25" customHeight="1">
      <c r="A26" s="11">
        <v>310540</v>
      </c>
      <c r="B26" s="11" t="s">
        <v>389</v>
      </c>
      <c r="C26" s="8">
        <v>0</v>
      </c>
      <c r="D26" s="9">
        <v>0</v>
      </c>
      <c r="E26" s="9">
        <v>1</v>
      </c>
      <c r="F26" s="9">
        <v>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1</v>
      </c>
      <c r="M26" s="9">
        <v>0</v>
      </c>
      <c r="N26" s="19">
        <f t="shared" si="0"/>
        <v>6</v>
      </c>
      <c r="O26" s="24">
        <v>5766</v>
      </c>
      <c r="P26" s="18">
        <f t="shared" si="1"/>
        <v>104.0582726326743</v>
      </c>
    </row>
    <row r="27" spans="1:16" ht="14.25" customHeight="1">
      <c r="A27" s="11">
        <v>310560</v>
      </c>
      <c r="B27" s="11" t="s">
        <v>390</v>
      </c>
      <c r="C27" s="8">
        <v>0</v>
      </c>
      <c r="D27" s="9">
        <v>0</v>
      </c>
      <c r="E27" s="9">
        <v>0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5</v>
      </c>
      <c r="M27" s="9">
        <v>0</v>
      </c>
      <c r="N27" s="19">
        <f t="shared" si="0"/>
        <v>6</v>
      </c>
      <c r="O27" s="24">
        <v>32783</v>
      </c>
      <c r="P27" s="18">
        <f t="shared" si="1"/>
        <v>18.302168807003628</v>
      </c>
    </row>
    <row r="28" spans="1:16" ht="14.25" customHeight="1">
      <c r="A28" s="11">
        <v>310620</v>
      </c>
      <c r="B28" s="11" t="s">
        <v>391</v>
      </c>
      <c r="C28" s="8">
        <v>63</v>
      </c>
      <c r="D28" s="9">
        <v>30</v>
      </c>
      <c r="E28" s="9">
        <v>55</v>
      </c>
      <c r="F28" s="9">
        <v>40</v>
      </c>
      <c r="G28" s="9">
        <v>42</v>
      </c>
      <c r="H28" s="9">
        <v>9</v>
      </c>
      <c r="I28" s="9">
        <v>4</v>
      </c>
      <c r="J28" s="9">
        <v>1</v>
      </c>
      <c r="K28" s="9">
        <v>0</v>
      </c>
      <c r="L28" s="9">
        <v>434</v>
      </c>
      <c r="M28" s="9">
        <v>169</v>
      </c>
      <c r="N28" s="19">
        <f t="shared" si="0"/>
        <v>847</v>
      </c>
      <c r="O28" s="24">
        <v>138204</v>
      </c>
      <c r="P28" s="18">
        <f t="shared" si="1"/>
        <v>612.86214581343529</v>
      </c>
    </row>
    <row r="29" spans="1:16" ht="14.25" customHeight="1">
      <c r="A29" s="11">
        <v>310670</v>
      </c>
      <c r="B29" s="11" t="s">
        <v>392</v>
      </c>
      <c r="C29" s="8">
        <v>2</v>
      </c>
      <c r="D29" s="9">
        <v>2</v>
      </c>
      <c r="E29" s="9">
        <v>4</v>
      </c>
      <c r="F29" s="9">
        <v>3</v>
      </c>
      <c r="G29" s="9">
        <v>0</v>
      </c>
      <c r="H29" s="9">
        <v>3</v>
      </c>
      <c r="I29" s="9">
        <v>0</v>
      </c>
      <c r="J29" s="9">
        <v>2</v>
      </c>
      <c r="K29" s="9">
        <v>1</v>
      </c>
      <c r="L29" s="9">
        <v>19</v>
      </c>
      <c r="M29" s="9">
        <v>6</v>
      </c>
      <c r="N29" s="19">
        <f t="shared" si="0"/>
        <v>42</v>
      </c>
      <c r="O29" s="24">
        <v>2521564</v>
      </c>
      <c r="P29" s="18">
        <f t="shared" si="1"/>
        <v>1.6656329167135953</v>
      </c>
    </row>
    <row r="30" spans="1:16" ht="14.25" customHeight="1">
      <c r="A30" s="11">
        <v>310710</v>
      </c>
      <c r="B30" s="11" t="s">
        <v>319</v>
      </c>
      <c r="C30" s="8">
        <v>2</v>
      </c>
      <c r="D30" s="9">
        <v>0</v>
      </c>
      <c r="E30" s="9">
        <v>0</v>
      </c>
      <c r="F30" s="9">
        <v>0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1</v>
      </c>
      <c r="M30" s="9">
        <v>0</v>
      </c>
      <c r="N30" s="19">
        <f t="shared" si="0"/>
        <v>4</v>
      </c>
      <c r="O30" s="24">
        <v>444784</v>
      </c>
      <c r="P30" s="18">
        <f t="shared" si="1"/>
        <v>0.89931292492535697</v>
      </c>
    </row>
    <row r="31" spans="1:16" ht="14.25" customHeight="1">
      <c r="A31" s="11">
        <v>310730</v>
      </c>
      <c r="B31" s="11" t="s">
        <v>393</v>
      </c>
      <c r="C31" s="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2</v>
      </c>
      <c r="M31" s="9">
        <v>4</v>
      </c>
      <c r="N31" s="19">
        <f t="shared" si="0"/>
        <v>6</v>
      </c>
      <c r="O31" s="24">
        <v>40219</v>
      </c>
      <c r="P31" s="18">
        <f t="shared" si="1"/>
        <v>14.918322186031478</v>
      </c>
    </row>
    <row r="32" spans="1:16" ht="14.25" customHeight="1">
      <c r="A32" s="11">
        <v>310740</v>
      </c>
      <c r="B32" s="11" t="s">
        <v>394</v>
      </c>
      <c r="C32" s="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</v>
      </c>
      <c r="M32" s="9">
        <v>0</v>
      </c>
      <c r="N32" s="19">
        <f t="shared" si="0"/>
        <v>1</v>
      </c>
      <c r="O32" s="24">
        <v>50220</v>
      </c>
      <c r="P32" s="18">
        <f t="shared" si="1"/>
        <v>1.9912385503783354</v>
      </c>
    </row>
    <row r="33" spans="1:16" ht="14.25" customHeight="1">
      <c r="A33" s="11">
        <v>310790</v>
      </c>
      <c r="B33" s="11" t="s">
        <v>395</v>
      </c>
      <c r="C33" s="8">
        <v>0</v>
      </c>
      <c r="D33" s="9">
        <v>1</v>
      </c>
      <c r="E33" s="9">
        <v>3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1</v>
      </c>
      <c r="M33" s="9">
        <v>0</v>
      </c>
      <c r="N33" s="19">
        <f t="shared" si="0"/>
        <v>5</v>
      </c>
      <c r="O33" s="24">
        <v>51028</v>
      </c>
      <c r="P33" s="18">
        <f t="shared" si="1"/>
        <v>9.79854197695383</v>
      </c>
    </row>
    <row r="34" spans="1:16" ht="14.25" customHeight="1">
      <c r="A34" s="11">
        <v>310800</v>
      </c>
      <c r="B34" s="11" t="s">
        <v>396</v>
      </c>
      <c r="C34" s="8">
        <v>1</v>
      </c>
      <c r="D34" s="9">
        <v>0</v>
      </c>
      <c r="E34" s="9">
        <v>0</v>
      </c>
      <c r="F34" s="9">
        <v>0</v>
      </c>
      <c r="G34" s="9">
        <v>1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19">
        <f t="shared" si="0"/>
        <v>2</v>
      </c>
      <c r="O34" s="24">
        <v>10457</v>
      </c>
      <c r="P34" s="18">
        <f t="shared" si="1"/>
        <v>19.12594434350196</v>
      </c>
    </row>
    <row r="35" spans="1:16" ht="14.25" customHeight="1">
      <c r="A35" s="11">
        <v>310830</v>
      </c>
      <c r="B35" s="11" t="s">
        <v>397</v>
      </c>
      <c r="C35" s="8">
        <v>0</v>
      </c>
      <c r="D35" s="9">
        <v>0</v>
      </c>
      <c r="E35" s="9">
        <v>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1</v>
      </c>
      <c r="M35" s="9">
        <v>0</v>
      </c>
      <c r="N35" s="19">
        <f t="shared" si="0"/>
        <v>2</v>
      </c>
      <c r="O35" s="24">
        <v>17115</v>
      </c>
      <c r="P35" s="18">
        <f t="shared" si="1"/>
        <v>11.685655857434998</v>
      </c>
    </row>
    <row r="36" spans="1:16" ht="14.25" customHeight="1">
      <c r="A36" s="11">
        <v>310855</v>
      </c>
      <c r="B36" s="11" t="s">
        <v>398</v>
      </c>
      <c r="C36" s="8">
        <v>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3</v>
      </c>
      <c r="M36" s="9">
        <v>0</v>
      </c>
      <c r="N36" s="19">
        <f t="shared" si="0"/>
        <v>4</v>
      </c>
      <c r="O36" s="24">
        <v>19569</v>
      </c>
      <c r="P36" s="18">
        <f t="shared" si="1"/>
        <v>20.440492615872042</v>
      </c>
    </row>
    <row r="37" spans="1:16" ht="14.25" customHeight="1">
      <c r="A37" s="11">
        <v>310860</v>
      </c>
      <c r="B37" s="11" t="s">
        <v>399</v>
      </c>
      <c r="C37" s="8">
        <v>0</v>
      </c>
      <c r="D37" s="9">
        <v>0</v>
      </c>
      <c r="E37" s="9">
        <v>0</v>
      </c>
      <c r="F37" s="9">
        <v>3</v>
      </c>
      <c r="G37" s="9">
        <v>1</v>
      </c>
      <c r="H37" s="9">
        <v>0</v>
      </c>
      <c r="I37" s="9">
        <v>0</v>
      </c>
      <c r="J37" s="9">
        <v>1</v>
      </c>
      <c r="K37" s="9">
        <v>0</v>
      </c>
      <c r="L37" s="9">
        <v>1</v>
      </c>
      <c r="M37" s="9">
        <v>0</v>
      </c>
      <c r="N37" s="19">
        <f t="shared" si="0"/>
        <v>6</v>
      </c>
      <c r="O37" s="24">
        <v>16940</v>
      </c>
      <c r="P37" s="18">
        <f t="shared" si="1"/>
        <v>35.419126328217239</v>
      </c>
    </row>
    <row r="38" spans="1:16" ht="14.25" customHeight="1">
      <c r="A38" s="11">
        <v>310890</v>
      </c>
      <c r="B38" s="11" t="s">
        <v>400</v>
      </c>
      <c r="C38" s="8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5</v>
      </c>
      <c r="M38" s="9">
        <v>1</v>
      </c>
      <c r="N38" s="19">
        <f t="shared" si="0"/>
        <v>6</v>
      </c>
      <c r="O38" s="24">
        <v>32327</v>
      </c>
      <c r="P38" s="18">
        <f t="shared" si="1"/>
        <v>18.560336560769635</v>
      </c>
    </row>
    <row r="39" spans="1:16" ht="14.25" customHeight="1">
      <c r="A39" s="11">
        <v>310900</v>
      </c>
      <c r="B39" s="11" t="s">
        <v>401</v>
      </c>
      <c r="C39" s="8">
        <v>1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19">
        <f t="shared" si="0"/>
        <v>2</v>
      </c>
      <c r="O39" s="24">
        <v>14410</v>
      </c>
      <c r="P39" s="18">
        <f t="shared" si="1"/>
        <v>13.879250520471896</v>
      </c>
    </row>
    <row r="40" spans="1:16" ht="14.25" customHeight="1">
      <c r="A40" s="11">
        <v>310940</v>
      </c>
      <c r="B40" s="11" t="s">
        <v>402</v>
      </c>
      <c r="C40" s="8">
        <v>0</v>
      </c>
      <c r="D40" s="9">
        <v>0</v>
      </c>
      <c r="E40" s="9">
        <v>0</v>
      </c>
      <c r="F40" s="9">
        <v>0</v>
      </c>
      <c r="G40" s="9">
        <v>6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19">
        <f t="shared" si="0"/>
        <v>6</v>
      </c>
      <c r="O40" s="24">
        <v>40666</v>
      </c>
      <c r="P40" s="18">
        <f t="shared" si="1"/>
        <v>14.75434023508582</v>
      </c>
    </row>
    <row r="41" spans="1:16" ht="14.25" customHeight="1">
      <c r="A41" s="11">
        <v>310950</v>
      </c>
      <c r="B41" s="11" t="s">
        <v>403</v>
      </c>
      <c r="C41" s="8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1</v>
      </c>
      <c r="M41" s="9">
        <v>0</v>
      </c>
      <c r="N41" s="19">
        <f t="shared" si="0"/>
        <v>1</v>
      </c>
      <c r="O41" s="24">
        <v>25029</v>
      </c>
      <c r="P41" s="18">
        <f t="shared" si="1"/>
        <v>3.9953653761636505</v>
      </c>
    </row>
    <row r="42" spans="1:16" ht="14.25" customHeight="1">
      <c r="A42" s="11">
        <v>310990</v>
      </c>
      <c r="B42" s="11" t="s">
        <v>404</v>
      </c>
      <c r="C42" s="8">
        <v>0</v>
      </c>
      <c r="D42" s="9">
        <v>0</v>
      </c>
      <c r="E42" s="9">
        <v>0</v>
      </c>
      <c r="F42" s="9">
        <v>1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19">
        <f t="shared" si="0"/>
        <v>1</v>
      </c>
      <c r="O42" s="24">
        <v>14542</v>
      </c>
      <c r="P42" s="18">
        <f t="shared" si="1"/>
        <v>6.8766332003850907</v>
      </c>
    </row>
    <row r="43" spans="1:16" ht="14.25" customHeight="1">
      <c r="A43" s="11">
        <v>311000</v>
      </c>
      <c r="B43" s="11" t="s">
        <v>405</v>
      </c>
      <c r="C43" s="8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1</v>
      </c>
      <c r="M43" s="9">
        <v>0</v>
      </c>
      <c r="N43" s="19">
        <f t="shared" si="0"/>
        <v>1</v>
      </c>
      <c r="O43" s="24">
        <v>11458</v>
      </c>
      <c r="P43" s="18">
        <f t="shared" si="1"/>
        <v>8.7275266189561886</v>
      </c>
    </row>
    <row r="44" spans="1:16" ht="14.25" customHeight="1">
      <c r="A44" s="11">
        <v>311020</v>
      </c>
      <c r="B44" s="11" t="s">
        <v>406</v>
      </c>
      <c r="C44" s="8">
        <v>0</v>
      </c>
      <c r="D44" s="9">
        <v>0</v>
      </c>
      <c r="E44" s="9">
        <v>0</v>
      </c>
      <c r="F44" s="9">
        <v>0</v>
      </c>
      <c r="G44" s="9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19">
        <f t="shared" si="0"/>
        <v>1</v>
      </c>
      <c r="O44" s="24">
        <v>45153</v>
      </c>
      <c r="P44" s="18">
        <f t="shared" si="1"/>
        <v>2.2146922685092907</v>
      </c>
    </row>
    <row r="45" spans="1:16" ht="14.25" customHeight="1">
      <c r="A45" s="11">
        <v>311060</v>
      </c>
      <c r="B45" s="11" t="s">
        <v>407</v>
      </c>
      <c r="C45" s="8">
        <v>0</v>
      </c>
      <c r="D45" s="9">
        <v>0</v>
      </c>
      <c r="E45" s="9">
        <v>1</v>
      </c>
      <c r="F45" s="9">
        <v>7</v>
      </c>
      <c r="G45" s="9">
        <v>0</v>
      </c>
      <c r="H45" s="9">
        <v>1</v>
      </c>
      <c r="I45" s="9">
        <v>0</v>
      </c>
      <c r="J45" s="9">
        <v>0</v>
      </c>
      <c r="K45" s="9">
        <v>0</v>
      </c>
      <c r="L45" s="9">
        <v>9</v>
      </c>
      <c r="M45" s="9">
        <v>0</v>
      </c>
      <c r="N45" s="19">
        <f t="shared" si="0"/>
        <v>18</v>
      </c>
      <c r="O45" s="24">
        <v>3999</v>
      </c>
      <c r="P45" s="18">
        <f t="shared" si="1"/>
        <v>450.11252813203299</v>
      </c>
    </row>
    <row r="46" spans="1:16" ht="14.25" customHeight="1">
      <c r="A46" s="11">
        <v>311080</v>
      </c>
      <c r="B46" s="11" t="s">
        <v>408</v>
      </c>
      <c r="C46" s="8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</v>
      </c>
      <c r="M46" s="9">
        <v>0</v>
      </c>
      <c r="N46" s="19">
        <f t="shared" si="0"/>
        <v>1</v>
      </c>
      <c r="O46" s="24">
        <v>30134</v>
      </c>
      <c r="P46" s="18">
        <f t="shared" si="1"/>
        <v>3.3185106524191941</v>
      </c>
    </row>
    <row r="47" spans="1:16" ht="14.25" customHeight="1">
      <c r="A47" s="11">
        <v>311120</v>
      </c>
      <c r="B47" s="11" t="s">
        <v>409</v>
      </c>
      <c r="C47" s="8">
        <v>0</v>
      </c>
      <c r="D47" s="9">
        <v>0</v>
      </c>
      <c r="E47" s="9">
        <v>0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19">
        <f t="shared" si="0"/>
        <v>1</v>
      </c>
      <c r="O47" s="24">
        <v>3655</v>
      </c>
      <c r="P47" s="18">
        <f t="shared" si="1"/>
        <v>27.359781121751027</v>
      </c>
    </row>
    <row r="48" spans="1:16" ht="14.25" customHeight="1">
      <c r="A48" s="11">
        <v>311130</v>
      </c>
      <c r="B48" s="11" t="s">
        <v>410</v>
      </c>
      <c r="C48" s="8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</v>
      </c>
      <c r="M48" s="9">
        <v>2</v>
      </c>
      <c r="N48" s="19">
        <f t="shared" si="0"/>
        <v>3</v>
      </c>
      <c r="O48" s="24">
        <v>54186</v>
      </c>
      <c r="P48" s="18">
        <f t="shared" si="1"/>
        <v>5.5364854390432958</v>
      </c>
    </row>
    <row r="49" spans="1:16" ht="14.25" customHeight="1">
      <c r="A49" s="11">
        <v>311180</v>
      </c>
      <c r="B49" s="11" t="s">
        <v>411</v>
      </c>
      <c r="C49" s="8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5</v>
      </c>
      <c r="M49" s="9">
        <v>2</v>
      </c>
      <c r="N49" s="19">
        <f t="shared" si="0"/>
        <v>7</v>
      </c>
      <c r="O49" s="24">
        <v>11666</v>
      </c>
      <c r="P49" s="18">
        <f t="shared" si="1"/>
        <v>60.00342876735813</v>
      </c>
    </row>
    <row r="50" spans="1:16" ht="14.25" customHeight="1">
      <c r="A50" s="11">
        <v>311230</v>
      </c>
      <c r="B50" s="11" t="s">
        <v>412</v>
      </c>
      <c r="C50" s="8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7</v>
      </c>
      <c r="M50" s="9">
        <v>4</v>
      </c>
      <c r="N50" s="19">
        <f t="shared" si="0"/>
        <v>11</v>
      </c>
      <c r="O50" s="24">
        <v>12115</v>
      </c>
      <c r="P50" s="18">
        <f t="shared" si="1"/>
        <v>90.796533223276938</v>
      </c>
    </row>
    <row r="51" spans="1:16" ht="14.25" customHeight="1">
      <c r="A51" s="11">
        <v>311240</v>
      </c>
      <c r="B51" s="11" t="s">
        <v>413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3</v>
      </c>
      <c r="M51" s="9">
        <v>1</v>
      </c>
      <c r="N51" s="19">
        <f t="shared" si="0"/>
        <v>4</v>
      </c>
      <c r="O51" s="24">
        <v>38031</v>
      </c>
      <c r="P51" s="18">
        <f t="shared" si="1"/>
        <v>10.51773553154006</v>
      </c>
    </row>
    <row r="52" spans="1:16" ht="14.25" customHeight="1">
      <c r="A52" s="11">
        <v>311260</v>
      </c>
      <c r="B52" s="11" t="s">
        <v>414</v>
      </c>
      <c r="C52" s="8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</v>
      </c>
      <c r="N52" s="19">
        <f t="shared" si="0"/>
        <v>1</v>
      </c>
      <c r="O52" s="24">
        <v>7086</v>
      </c>
      <c r="P52" s="18">
        <f t="shared" si="1"/>
        <v>14.112334180073384</v>
      </c>
    </row>
    <row r="53" spans="1:16" ht="14.25" customHeight="1">
      <c r="A53" s="11">
        <v>311320</v>
      </c>
      <c r="B53" s="11" t="s">
        <v>415</v>
      </c>
      <c r="C53" s="8">
        <v>0</v>
      </c>
      <c r="D53" s="9">
        <v>0</v>
      </c>
      <c r="E53" s="9">
        <v>0</v>
      </c>
      <c r="F53" s="9">
        <v>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</v>
      </c>
      <c r="N53" s="19">
        <f t="shared" si="0"/>
        <v>2</v>
      </c>
      <c r="O53" s="24">
        <v>16173</v>
      </c>
      <c r="P53" s="18">
        <f t="shared" si="1"/>
        <v>12.366289494837075</v>
      </c>
    </row>
    <row r="54" spans="1:16" ht="14.25" customHeight="1">
      <c r="A54" s="11">
        <v>311390</v>
      </c>
      <c r="B54" s="11" t="s">
        <v>416</v>
      </c>
      <c r="C54" s="8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19">
        <f t="shared" si="0"/>
        <v>1</v>
      </c>
      <c r="O54" s="24">
        <v>25750</v>
      </c>
      <c r="P54" s="18">
        <f t="shared" si="1"/>
        <v>3.883495145631068</v>
      </c>
    </row>
    <row r="55" spans="1:16" ht="14.25" customHeight="1">
      <c r="A55" s="11">
        <v>311400</v>
      </c>
      <c r="B55" s="11" t="s">
        <v>417</v>
      </c>
      <c r="C55" s="8">
        <v>1</v>
      </c>
      <c r="D55" s="9">
        <v>1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19">
        <f t="shared" si="0"/>
        <v>2</v>
      </c>
      <c r="O55" s="24">
        <v>12219</v>
      </c>
      <c r="P55" s="18">
        <f t="shared" si="1"/>
        <v>16.36795155086341</v>
      </c>
    </row>
    <row r="56" spans="1:16" ht="14.25" customHeight="1">
      <c r="A56" s="11">
        <v>311410</v>
      </c>
      <c r="B56" s="11" t="s">
        <v>418</v>
      </c>
      <c r="C56" s="8">
        <v>0</v>
      </c>
      <c r="D56" s="9">
        <v>0</v>
      </c>
      <c r="E56" s="9">
        <v>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19">
        <f t="shared" si="0"/>
        <v>1</v>
      </c>
      <c r="O56" s="24">
        <v>11542</v>
      </c>
      <c r="P56" s="18">
        <f t="shared" si="1"/>
        <v>8.6640097036908692</v>
      </c>
    </row>
    <row r="57" spans="1:16" ht="14.25" customHeight="1">
      <c r="A57" s="11">
        <v>311430</v>
      </c>
      <c r="B57" s="11" t="s">
        <v>419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13</v>
      </c>
      <c r="M57" s="9">
        <v>1</v>
      </c>
      <c r="N57" s="19">
        <f t="shared" si="0"/>
        <v>14</v>
      </c>
      <c r="O57" s="24">
        <v>15011</v>
      </c>
      <c r="P57" s="18">
        <f t="shared" si="1"/>
        <v>93.264939044700554</v>
      </c>
    </row>
    <row r="58" spans="1:16" ht="14.25" customHeight="1">
      <c r="A58" s="11">
        <v>311440</v>
      </c>
      <c r="B58" s="11" t="s">
        <v>420</v>
      </c>
      <c r="C58" s="8">
        <v>3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19">
        <f t="shared" si="0"/>
        <v>3</v>
      </c>
      <c r="O58" s="24">
        <v>30347</v>
      </c>
      <c r="P58" s="18">
        <f t="shared" si="1"/>
        <v>9.8856559132698454</v>
      </c>
    </row>
    <row r="59" spans="1:16" ht="14.25" customHeight="1">
      <c r="A59" s="11">
        <v>311450</v>
      </c>
      <c r="B59" s="11" t="s">
        <v>421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2</v>
      </c>
      <c r="N59" s="19">
        <f t="shared" si="0"/>
        <v>2</v>
      </c>
      <c r="O59" s="24">
        <v>21189</v>
      </c>
      <c r="P59" s="18">
        <f t="shared" si="1"/>
        <v>9.4388597857378826</v>
      </c>
    </row>
    <row r="60" spans="1:16" ht="14.25" customHeight="1">
      <c r="A60" s="11">
        <v>311455</v>
      </c>
      <c r="B60" s="11" t="s">
        <v>422</v>
      </c>
      <c r="C60" s="8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</v>
      </c>
      <c r="N60" s="19">
        <f t="shared" si="0"/>
        <v>1</v>
      </c>
      <c r="O60" s="24">
        <v>19462</v>
      </c>
      <c r="P60" s="18">
        <f t="shared" si="1"/>
        <v>5.1382180659747201</v>
      </c>
    </row>
    <row r="61" spans="1:16" ht="14.25" customHeight="1">
      <c r="A61" s="11">
        <v>311480</v>
      </c>
      <c r="B61" s="11" t="s">
        <v>423</v>
      </c>
      <c r="C61" s="8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2</v>
      </c>
      <c r="N61" s="19">
        <f t="shared" si="0"/>
        <v>2</v>
      </c>
      <c r="O61" s="24">
        <v>9489</v>
      </c>
      <c r="P61" s="18">
        <f t="shared" si="1"/>
        <v>21.077036568658446</v>
      </c>
    </row>
    <row r="62" spans="1:16" ht="14.25" customHeight="1">
      <c r="A62" s="11">
        <v>311530</v>
      </c>
      <c r="B62" s="11" t="s">
        <v>424</v>
      </c>
      <c r="C62" s="8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1</v>
      </c>
      <c r="M62" s="9">
        <v>0</v>
      </c>
      <c r="N62" s="19">
        <f t="shared" si="0"/>
        <v>1</v>
      </c>
      <c r="O62" s="24">
        <v>4453</v>
      </c>
      <c r="P62" s="18">
        <f t="shared" si="1"/>
        <v>22.456770716370986</v>
      </c>
    </row>
    <row r="63" spans="1:16" ht="14.25" customHeight="1">
      <c r="A63" s="11">
        <v>311550</v>
      </c>
      <c r="B63" s="11" t="s">
        <v>425</v>
      </c>
      <c r="C63" s="8">
        <v>1</v>
      </c>
      <c r="D63" s="9">
        <v>0</v>
      </c>
      <c r="E63" s="9">
        <v>0</v>
      </c>
      <c r="F63" s="9">
        <v>0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19">
        <f t="shared" si="0"/>
        <v>4</v>
      </c>
      <c r="O63" s="24">
        <v>75540</v>
      </c>
      <c r="P63" s="18">
        <f t="shared" si="1"/>
        <v>5.2952078369075988</v>
      </c>
    </row>
    <row r="64" spans="1:16" ht="14.25" customHeight="1">
      <c r="A64" s="11">
        <v>311580</v>
      </c>
      <c r="B64" s="11" t="s">
        <v>426</v>
      </c>
      <c r="C64" s="8">
        <v>0</v>
      </c>
      <c r="D64" s="9">
        <v>0</v>
      </c>
      <c r="E64" s="9">
        <v>0</v>
      </c>
      <c r="F64" s="9">
        <v>0</v>
      </c>
      <c r="G64" s="9">
        <v>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19">
        <f t="shared" si="0"/>
        <v>1</v>
      </c>
      <c r="O64" s="24">
        <v>21656</v>
      </c>
      <c r="P64" s="18">
        <f t="shared" si="1"/>
        <v>4.6176579239009969</v>
      </c>
    </row>
    <row r="65" spans="1:16" ht="14.25" customHeight="1">
      <c r="A65" s="11">
        <v>311600</v>
      </c>
      <c r="B65" s="11" t="s">
        <v>427</v>
      </c>
      <c r="C65" s="8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19">
        <f t="shared" si="0"/>
        <v>1</v>
      </c>
      <c r="O65" s="24">
        <v>10286</v>
      </c>
      <c r="P65" s="18">
        <f t="shared" si="1"/>
        <v>9.7219521679953331</v>
      </c>
    </row>
    <row r="66" spans="1:16" ht="14.25" customHeight="1">
      <c r="A66" s="11">
        <v>311650</v>
      </c>
      <c r="B66" s="11" t="s">
        <v>428</v>
      </c>
      <c r="C66" s="8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2</v>
      </c>
      <c r="N66" s="19">
        <f t="shared" si="0"/>
        <v>2</v>
      </c>
      <c r="O66" s="24">
        <v>5719</v>
      </c>
      <c r="P66" s="18">
        <f t="shared" si="1"/>
        <v>34.971148802238154</v>
      </c>
    </row>
    <row r="67" spans="1:16" ht="14.25" customHeight="1">
      <c r="A67" s="11">
        <v>311660</v>
      </c>
      <c r="B67" s="11" t="s">
        <v>429</v>
      </c>
      <c r="C67" s="8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2</v>
      </c>
      <c r="N67" s="19">
        <f t="shared" si="0"/>
        <v>2</v>
      </c>
      <c r="O67" s="24">
        <v>7491</v>
      </c>
      <c r="P67" s="18">
        <f t="shared" si="1"/>
        <v>26.698705112802028</v>
      </c>
    </row>
    <row r="68" spans="1:16" ht="14.25" customHeight="1">
      <c r="A68" s="11">
        <v>311710</v>
      </c>
      <c r="B68" s="11" t="s">
        <v>430</v>
      </c>
      <c r="C68" s="8">
        <v>0</v>
      </c>
      <c r="D68" s="9">
        <v>0</v>
      </c>
      <c r="E68" s="9">
        <v>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19">
        <f t="shared" si="0"/>
        <v>1</v>
      </c>
      <c r="O68" s="24">
        <v>28730</v>
      </c>
      <c r="P68" s="18">
        <f t="shared" si="1"/>
        <v>3.4806822137138878</v>
      </c>
    </row>
    <row r="69" spans="1:16" ht="14.25" customHeight="1">
      <c r="A69" s="11">
        <v>311720</v>
      </c>
      <c r="B69" s="11" t="s">
        <v>431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1</v>
      </c>
      <c r="M69" s="9">
        <v>0</v>
      </c>
      <c r="N69" s="19">
        <f t="shared" si="0"/>
        <v>1</v>
      </c>
      <c r="O69" s="24">
        <v>9771</v>
      </c>
      <c r="P69" s="18">
        <f t="shared" si="1"/>
        <v>10.234367004400777</v>
      </c>
    </row>
    <row r="70" spans="1:16" ht="14.25" customHeight="1">
      <c r="A70" s="11">
        <v>311750</v>
      </c>
      <c r="B70" s="11" t="s">
        <v>432</v>
      </c>
      <c r="C70" s="8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</v>
      </c>
      <c r="M70" s="9">
        <v>0</v>
      </c>
      <c r="N70" s="19">
        <f t="shared" si="0"/>
        <v>1</v>
      </c>
      <c r="O70" s="24">
        <v>2628</v>
      </c>
      <c r="P70" s="18">
        <f t="shared" si="1"/>
        <v>38.051750380517504</v>
      </c>
    </row>
    <row r="71" spans="1:16" ht="14.25" customHeight="1">
      <c r="A71" s="11">
        <v>311760</v>
      </c>
      <c r="B71" s="11" t="s">
        <v>433</v>
      </c>
      <c r="C71" s="8">
        <v>0</v>
      </c>
      <c r="D71" s="9">
        <v>2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19">
        <f t="shared" si="0"/>
        <v>2</v>
      </c>
      <c r="O71" s="24">
        <v>17519</v>
      </c>
      <c r="P71" s="18">
        <f t="shared" si="1"/>
        <v>11.416176722415663</v>
      </c>
    </row>
    <row r="72" spans="1:16" ht="14.25" customHeight="1">
      <c r="A72" s="11">
        <v>311770</v>
      </c>
      <c r="B72" s="11" t="s">
        <v>434</v>
      </c>
      <c r="C72" s="8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1</v>
      </c>
      <c r="N72" s="19">
        <f t="shared" si="0"/>
        <v>1</v>
      </c>
      <c r="O72" s="24">
        <v>5518</v>
      </c>
      <c r="P72" s="18">
        <f t="shared" si="1"/>
        <v>18.122508155128671</v>
      </c>
    </row>
    <row r="73" spans="1:16" ht="14.25" customHeight="1">
      <c r="A73" s="11">
        <v>311783</v>
      </c>
      <c r="B73" s="11" t="s">
        <v>435</v>
      </c>
      <c r="C73" s="8">
        <v>0</v>
      </c>
      <c r="D73" s="9">
        <v>0</v>
      </c>
      <c r="E73" s="9">
        <v>0</v>
      </c>
      <c r="F73" s="9">
        <v>0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19">
        <f t="shared" si="0"/>
        <v>1</v>
      </c>
      <c r="O73" s="24">
        <v>13045</v>
      </c>
      <c r="P73" s="18">
        <f t="shared" si="1"/>
        <v>7.6657723265619007</v>
      </c>
    </row>
    <row r="74" spans="1:16" ht="14.25" customHeight="1">
      <c r="A74" s="11">
        <v>311790</v>
      </c>
      <c r="B74" s="11" t="s">
        <v>436</v>
      </c>
      <c r="C74" s="8">
        <v>0</v>
      </c>
      <c r="D74" s="9">
        <v>0</v>
      </c>
      <c r="E74" s="9">
        <v>0</v>
      </c>
      <c r="F74" s="9">
        <v>1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1</v>
      </c>
      <c r="M74" s="9">
        <v>0</v>
      </c>
      <c r="N74" s="19">
        <f t="shared" si="0"/>
        <v>2</v>
      </c>
      <c r="O74" s="24">
        <v>7640</v>
      </c>
      <c r="P74" s="18">
        <f t="shared" si="1"/>
        <v>26.178010471204193</v>
      </c>
    </row>
    <row r="75" spans="1:16" ht="14.25" customHeight="1">
      <c r="A75" s="11">
        <v>311800</v>
      </c>
      <c r="B75" s="11" t="s">
        <v>437</v>
      </c>
      <c r="C75" s="8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8</v>
      </c>
      <c r="M75" s="9">
        <v>2</v>
      </c>
      <c r="N75" s="19">
        <f t="shared" si="0"/>
        <v>10</v>
      </c>
      <c r="O75" s="24">
        <v>11751</v>
      </c>
      <c r="P75" s="18">
        <f t="shared" si="1"/>
        <v>85.099140498680967</v>
      </c>
    </row>
    <row r="76" spans="1:16" ht="14.25" customHeight="1">
      <c r="A76" s="11">
        <v>311830</v>
      </c>
      <c r="B76" s="11" t="s">
        <v>438</v>
      </c>
      <c r="C76" s="8">
        <v>1</v>
      </c>
      <c r="D76" s="9">
        <v>0</v>
      </c>
      <c r="E76" s="9">
        <v>2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6</v>
      </c>
      <c r="M76" s="9">
        <v>1</v>
      </c>
      <c r="N76" s="19">
        <f t="shared" si="0"/>
        <v>10</v>
      </c>
      <c r="O76" s="24">
        <v>55309</v>
      </c>
      <c r="P76" s="18">
        <f t="shared" si="1"/>
        <v>18.080240105588601</v>
      </c>
    </row>
    <row r="77" spans="1:16" ht="14.25" customHeight="1">
      <c r="A77" s="11">
        <v>311840</v>
      </c>
      <c r="B77" s="11" t="s">
        <v>439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8</v>
      </c>
      <c r="M77" s="9">
        <v>5</v>
      </c>
      <c r="N77" s="19">
        <f t="shared" si="0"/>
        <v>13</v>
      </c>
      <c r="O77" s="24">
        <v>129606</v>
      </c>
      <c r="P77" s="18">
        <f t="shared" si="1"/>
        <v>10.030399827168495</v>
      </c>
    </row>
    <row r="78" spans="1:16" ht="14.25" customHeight="1">
      <c r="A78" s="11">
        <v>311860</v>
      </c>
      <c r="B78" s="11" t="s">
        <v>440</v>
      </c>
      <c r="C78" s="8">
        <v>4</v>
      </c>
      <c r="D78" s="9">
        <v>0</v>
      </c>
      <c r="E78" s="9">
        <v>5</v>
      </c>
      <c r="F78" s="9">
        <v>5</v>
      </c>
      <c r="G78" s="9">
        <v>0</v>
      </c>
      <c r="H78" s="9">
        <v>1</v>
      </c>
      <c r="I78" s="9">
        <v>0</v>
      </c>
      <c r="J78" s="9">
        <v>0</v>
      </c>
      <c r="K78" s="9">
        <v>0</v>
      </c>
      <c r="L78" s="9">
        <v>27</v>
      </c>
      <c r="M78" s="9">
        <v>16</v>
      </c>
      <c r="N78" s="19">
        <f t="shared" si="0"/>
        <v>58</v>
      </c>
      <c r="O78" s="24">
        <v>22117</v>
      </c>
      <c r="P78" s="18">
        <f t="shared" si="1"/>
        <v>262.2417145182439</v>
      </c>
    </row>
    <row r="79" spans="1:16" ht="14.25" customHeight="1">
      <c r="A79" s="11">
        <v>311890</v>
      </c>
      <c r="B79" s="11" t="s">
        <v>441</v>
      </c>
      <c r="C79" s="8">
        <v>2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1</v>
      </c>
      <c r="N79" s="19">
        <f t="shared" si="0"/>
        <v>3</v>
      </c>
      <c r="O79" s="24">
        <v>669356</v>
      </c>
      <c r="P79" s="18">
        <f t="shared" si="1"/>
        <v>0.44819199349822814</v>
      </c>
    </row>
    <row r="80" spans="1:16" ht="14.25" customHeight="1">
      <c r="A80" s="11">
        <v>311930</v>
      </c>
      <c r="B80" s="11" t="s">
        <v>442</v>
      </c>
      <c r="C80" s="8">
        <v>0</v>
      </c>
      <c r="D80" s="9">
        <v>0</v>
      </c>
      <c r="E80" s="9">
        <v>0</v>
      </c>
      <c r="F80" s="9">
        <v>0</v>
      </c>
      <c r="G80" s="9">
        <v>3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19">
        <f t="shared" si="0"/>
        <v>3</v>
      </c>
      <c r="O80" s="24">
        <v>8875</v>
      </c>
      <c r="P80" s="18">
        <f t="shared" si="1"/>
        <v>33.802816901408448</v>
      </c>
    </row>
    <row r="81" spans="1:16" ht="14.25" customHeight="1">
      <c r="A81" s="11">
        <v>311940</v>
      </c>
      <c r="B81" s="11" t="s">
        <v>443</v>
      </c>
      <c r="C81" s="8">
        <v>0</v>
      </c>
      <c r="D81" s="9">
        <v>0</v>
      </c>
      <c r="E81" s="9">
        <v>0</v>
      </c>
      <c r="F81" s="9">
        <v>1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5</v>
      </c>
      <c r="M81" s="9">
        <v>3</v>
      </c>
      <c r="N81" s="19">
        <f t="shared" si="0"/>
        <v>9</v>
      </c>
      <c r="O81" s="24">
        <v>27966</v>
      </c>
      <c r="P81" s="18">
        <f t="shared" si="1"/>
        <v>32.181935207037114</v>
      </c>
    </row>
    <row r="82" spans="1:16" ht="14.25" customHeight="1">
      <c r="A82" s="11">
        <v>311990</v>
      </c>
      <c r="B82" s="11" t="s">
        <v>444</v>
      </c>
      <c r="C82" s="8">
        <v>0</v>
      </c>
      <c r="D82" s="9">
        <v>0</v>
      </c>
      <c r="E82" s="9">
        <v>1</v>
      </c>
      <c r="F82" s="9">
        <v>1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19">
        <f t="shared" si="0"/>
        <v>2</v>
      </c>
      <c r="O82" s="24">
        <v>110290</v>
      </c>
      <c r="P82" s="18">
        <f t="shared" si="1"/>
        <v>1.8134010336385891</v>
      </c>
    </row>
    <row r="83" spans="1:16" ht="14.25" customHeight="1">
      <c r="A83" s="11">
        <v>312020</v>
      </c>
      <c r="B83" s="11" t="s">
        <v>445</v>
      </c>
      <c r="C83" s="8">
        <v>1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1</v>
      </c>
      <c r="N83" s="19">
        <f t="shared" si="0"/>
        <v>2</v>
      </c>
      <c r="O83" s="24">
        <v>3737</v>
      </c>
      <c r="P83" s="18">
        <f t="shared" si="1"/>
        <v>53.518865400053521</v>
      </c>
    </row>
    <row r="84" spans="1:16" ht="14.25" customHeight="1">
      <c r="A84" s="11">
        <v>312080</v>
      </c>
      <c r="B84" s="11" t="s">
        <v>446</v>
      </c>
      <c r="C84" s="8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1</v>
      </c>
      <c r="M84" s="9">
        <v>1</v>
      </c>
      <c r="N84" s="19">
        <f t="shared" si="0"/>
        <v>2</v>
      </c>
      <c r="O84" s="24">
        <v>12825</v>
      </c>
      <c r="P84" s="18">
        <f t="shared" si="1"/>
        <v>15.594541910331385</v>
      </c>
    </row>
    <row r="85" spans="1:16" ht="14.25" customHeight="1">
      <c r="A85" s="11">
        <v>312083</v>
      </c>
      <c r="B85" s="11" t="s">
        <v>447</v>
      </c>
      <c r="C85" s="8">
        <v>0</v>
      </c>
      <c r="D85" s="9">
        <v>0</v>
      </c>
      <c r="E85" s="9">
        <v>0</v>
      </c>
      <c r="F85" s="9">
        <v>1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19">
        <f t="shared" si="0"/>
        <v>1</v>
      </c>
      <c r="O85" s="24">
        <v>15404</v>
      </c>
      <c r="P85" s="18">
        <f t="shared" si="1"/>
        <v>6.4918203064139188</v>
      </c>
    </row>
    <row r="86" spans="1:16" ht="14.25" customHeight="1">
      <c r="A86" s="11">
        <v>312090</v>
      </c>
      <c r="B86" s="11" t="s">
        <v>448</v>
      </c>
      <c r="C86" s="8">
        <v>9</v>
      </c>
      <c r="D86" s="9">
        <v>4</v>
      </c>
      <c r="E86" s="9">
        <v>0</v>
      </c>
      <c r="F86" s="9">
        <v>4</v>
      </c>
      <c r="G86" s="9">
        <v>0</v>
      </c>
      <c r="H86" s="9">
        <v>1</v>
      </c>
      <c r="I86" s="9">
        <v>0</v>
      </c>
      <c r="J86" s="9">
        <v>0</v>
      </c>
      <c r="K86" s="9">
        <v>0</v>
      </c>
      <c r="L86" s="9">
        <v>1</v>
      </c>
      <c r="M86" s="9">
        <v>3</v>
      </c>
      <c r="N86" s="19">
        <f t="shared" si="0"/>
        <v>22</v>
      </c>
      <c r="O86" s="24">
        <v>5028</v>
      </c>
      <c r="P86" s="18">
        <f t="shared" si="1"/>
        <v>437.54972155926805</v>
      </c>
    </row>
    <row r="87" spans="1:16" ht="14.25" customHeight="1">
      <c r="A87" s="11">
        <v>312100</v>
      </c>
      <c r="B87" s="11" t="s">
        <v>449</v>
      </c>
      <c r="C87" s="8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</v>
      </c>
      <c r="M87" s="9">
        <v>0</v>
      </c>
      <c r="N87" s="19">
        <f t="shared" si="0"/>
        <v>1</v>
      </c>
      <c r="O87" s="24">
        <v>80322</v>
      </c>
      <c r="P87" s="18">
        <f t="shared" si="1"/>
        <v>1.2449889195986155</v>
      </c>
    </row>
    <row r="88" spans="1:16" ht="14.25" customHeight="1">
      <c r="A88" s="11">
        <v>312120</v>
      </c>
      <c r="B88" s="11" t="s">
        <v>450</v>
      </c>
      <c r="C88" s="8">
        <v>0</v>
      </c>
      <c r="D88" s="9">
        <v>1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2</v>
      </c>
      <c r="N88" s="19">
        <f t="shared" si="0"/>
        <v>3</v>
      </c>
      <c r="O88" s="24">
        <v>5215</v>
      </c>
      <c r="P88" s="18">
        <f t="shared" si="1"/>
        <v>57.526366251198461</v>
      </c>
    </row>
    <row r="89" spans="1:16" ht="14.25" customHeight="1">
      <c r="A89" s="11">
        <v>312160</v>
      </c>
      <c r="B89" s="11" t="s">
        <v>451</v>
      </c>
      <c r="C89" s="8">
        <v>0</v>
      </c>
      <c r="D89" s="9">
        <v>0</v>
      </c>
      <c r="E89" s="9">
        <v>0</v>
      </c>
      <c r="F89" s="9">
        <v>0</v>
      </c>
      <c r="G89" s="9">
        <v>3</v>
      </c>
      <c r="H89" s="9">
        <v>0</v>
      </c>
      <c r="I89" s="9">
        <v>0</v>
      </c>
      <c r="J89" s="9">
        <v>0</v>
      </c>
      <c r="K89" s="9">
        <v>0</v>
      </c>
      <c r="L89" s="9">
        <v>4</v>
      </c>
      <c r="M89" s="9">
        <v>10</v>
      </c>
      <c r="N89" s="19">
        <f t="shared" si="0"/>
        <v>17</v>
      </c>
      <c r="O89" s="24">
        <v>7155</v>
      </c>
      <c r="P89" s="18">
        <f t="shared" si="1"/>
        <v>237.59608665269045</v>
      </c>
    </row>
    <row r="90" spans="1:16" ht="14.25" customHeight="1">
      <c r="A90" s="11">
        <v>312180</v>
      </c>
      <c r="B90" s="11" t="s">
        <v>452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</v>
      </c>
      <c r="M90" s="9">
        <v>0</v>
      </c>
      <c r="N90" s="19">
        <f t="shared" si="0"/>
        <v>1</v>
      </c>
      <c r="O90" s="24">
        <v>47825</v>
      </c>
      <c r="P90" s="18">
        <f t="shared" si="1"/>
        <v>2.0909566126502872</v>
      </c>
    </row>
    <row r="91" spans="1:16" ht="14.25" customHeight="1">
      <c r="A91" s="11">
        <v>312220</v>
      </c>
      <c r="B91" s="11" t="s">
        <v>453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2</v>
      </c>
      <c r="M91" s="9">
        <v>1</v>
      </c>
      <c r="N91" s="19">
        <f t="shared" si="0"/>
        <v>3</v>
      </c>
      <c r="O91" s="24">
        <v>7550</v>
      </c>
      <c r="P91" s="18">
        <f t="shared" si="1"/>
        <v>39.735099337748345</v>
      </c>
    </row>
    <row r="92" spans="1:16" ht="14.25" customHeight="1">
      <c r="A92" s="11">
        <v>312230</v>
      </c>
      <c r="B92" s="11" t="s">
        <v>454</v>
      </c>
      <c r="C92" s="8">
        <v>1</v>
      </c>
      <c r="D92" s="9">
        <v>0</v>
      </c>
      <c r="E92" s="9">
        <v>0</v>
      </c>
      <c r="F92" s="9">
        <v>0</v>
      </c>
      <c r="G92" s="9">
        <v>1</v>
      </c>
      <c r="H92" s="9">
        <v>1</v>
      </c>
      <c r="I92" s="9">
        <v>0</v>
      </c>
      <c r="J92" s="9">
        <v>0</v>
      </c>
      <c r="K92" s="9">
        <v>0</v>
      </c>
      <c r="L92" s="9">
        <v>0</v>
      </c>
      <c r="M92" s="9">
        <v>1</v>
      </c>
      <c r="N92" s="19">
        <f t="shared" si="0"/>
        <v>4</v>
      </c>
      <c r="O92" s="24">
        <v>6942</v>
      </c>
      <c r="P92" s="18">
        <f t="shared" si="1"/>
        <v>57.620282339383458</v>
      </c>
    </row>
    <row r="93" spans="1:16" ht="14.25" customHeight="1">
      <c r="A93" s="11">
        <v>312300</v>
      </c>
      <c r="B93" s="11" t="s">
        <v>455</v>
      </c>
      <c r="C93" s="8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2</v>
      </c>
      <c r="M93" s="9">
        <v>0</v>
      </c>
      <c r="N93" s="19">
        <f t="shared" si="0"/>
        <v>2</v>
      </c>
      <c r="O93" s="24">
        <v>240408</v>
      </c>
      <c r="P93" s="18">
        <f t="shared" si="1"/>
        <v>0.8319190709127815</v>
      </c>
    </row>
    <row r="94" spans="1:16" ht="14.25" customHeight="1">
      <c r="A94" s="11">
        <v>312360</v>
      </c>
      <c r="B94" s="11" t="s">
        <v>456</v>
      </c>
      <c r="C94" s="8">
        <v>0</v>
      </c>
      <c r="D94" s="9">
        <v>0</v>
      </c>
      <c r="E94" s="9">
        <v>0</v>
      </c>
      <c r="F94" s="9">
        <v>0</v>
      </c>
      <c r="G94" s="9">
        <v>3</v>
      </c>
      <c r="H94" s="9">
        <v>0</v>
      </c>
      <c r="I94" s="9">
        <v>0</v>
      </c>
      <c r="J94" s="9">
        <v>0</v>
      </c>
      <c r="K94" s="9">
        <v>1</v>
      </c>
      <c r="L94" s="9">
        <v>0</v>
      </c>
      <c r="M94" s="9">
        <v>0</v>
      </c>
      <c r="N94" s="19">
        <f t="shared" si="0"/>
        <v>4</v>
      </c>
      <c r="O94" s="24">
        <v>10169</v>
      </c>
      <c r="P94" s="18">
        <f t="shared" si="1"/>
        <v>39.335234536335925</v>
      </c>
    </row>
    <row r="95" spans="1:16" ht="14.25" customHeight="1">
      <c r="A95" s="11">
        <v>312380</v>
      </c>
      <c r="B95" s="11" t="s">
        <v>457</v>
      </c>
      <c r="C95" s="8">
        <v>0</v>
      </c>
      <c r="D95" s="9">
        <v>0</v>
      </c>
      <c r="E95" s="9">
        <v>1</v>
      </c>
      <c r="F95" s="9">
        <v>0</v>
      </c>
      <c r="G95" s="9">
        <v>0</v>
      </c>
      <c r="H95" s="9">
        <v>0</v>
      </c>
      <c r="I95" s="9">
        <v>1</v>
      </c>
      <c r="J95" s="9">
        <v>0</v>
      </c>
      <c r="K95" s="9">
        <v>0</v>
      </c>
      <c r="L95" s="9">
        <v>0</v>
      </c>
      <c r="M95" s="9">
        <v>0</v>
      </c>
      <c r="N95" s="19">
        <f t="shared" si="0"/>
        <v>2</v>
      </c>
      <c r="O95" s="24">
        <v>28326</v>
      </c>
      <c r="P95" s="18">
        <f t="shared" si="1"/>
        <v>7.0606509920214648</v>
      </c>
    </row>
    <row r="96" spans="1:16" ht="14.25" customHeight="1">
      <c r="A96" s="11">
        <v>312385</v>
      </c>
      <c r="B96" s="11" t="s">
        <v>458</v>
      </c>
      <c r="C96" s="8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2</v>
      </c>
      <c r="N96" s="19">
        <f t="shared" si="0"/>
        <v>2</v>
      </c>
      <c r="O96" s="24">
        <v>7218</v>
      </c>
      <c r="P96" s="18">
        <f t="shared" si="1"/>
        <v>27.708506511499031</v>
      </c>
    </row>
    <row r="97" spans="1:16" ht="14.25" customHeight="1">
      <c r="A97" s="11">
        <v>312400</v>
      </c>
      <c r="B97" s="11" t="s">
        <v>459</v>
      </c>
      <c r="C97" s="8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4</v>
      </c>
      <c r="N97" s="19">
        <f t="shared" si="0"/>
        <v>4</v>
      </c>
      <c r="O97" s="24">
        <v>5409</v>
      </c>
      <c r="P97" s="18">
        <f t="shared" si="1"/>
        <v>73.95082270290257</v>
      </c>
    </row>
    <row r="98" spans="1:16" ht="14.25" customHeight="1">
      <c r="A98" s="11">
        <v>312410</v>
      </c>
      <c r="B98" s="11" t="s">
        <v>460</v>
      </c>
      <c r="C98" s="8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</v>
      </c>
      <c r="M98" s="9">
        <v>0</v>
      </c>
      <c r="N98" s="19">
        <f t="shared" si="0"/>
        <v>1</v>
      </c>
      <c r="O98" s="24">
        <v>18914</v>
      </c>
      <c r="P98" s="18">
        <f t="shared" si="1"/>
        <v>5.2870889288357832</v>
      </c>
    </row>
    <row r="99" spans="1:16" ht="14.25" customHeight="1">
      <c r="A99" s="11">
        <v>312420</v>
      </c>
      <c r="B99" s="11" t="s">
        <v>461</v>
      </c>
      <c r="C99" s="8">
        <v>0</v>
      </c>
      <c r="D99" s="9">
        <v>0</v>
      </c>
      <c r="E99" s="9">
        <v>0</v>
      </c>
      <c r="F99" s="9">
        <v>0</v>
      </c>
      <c r="G99" s="9">
        <v>2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1</v>
      </c>
      <c r="N99" s="19">
        <f t="shared" si="0"/>
        <v>3</v>
      </c>
      <c r="O99" s="24">
        <v>71942</v>
      </c>
      <c r="P99" s="18">
        <f t="shared" si="1"/>
        <v>4.1700258541602961</v>
      </c>
    </row>
    <row r="100" spans="1:16" ht="14.25" customHeight="1">
      <c r="A100" s="11">
        <v>312430</v>
      </c>
      <c r="B100" s="11" t="s">
        <v>462</v>
      </c>
      <c r="C100" s="8">
        <v>0</v>
      </c>
      <c r="D100" s="9">
        <v>0</v>
      </c>
      <c r="E100" s="9">
        <v>1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19">
        <f t="shared" si="0"/>
        <v>1</v>
      </c>
      <c r="O100" s="24">
        <v>25143</v>
      </c>
      <c r="P100" s="18">
        <f t="shared" si="1"/>
        <v>3.9772501292606295</v>
      </c>
    </row>
    <row r="101" spans="1:16" ht="14.25" customHeight="1">
      <c r="A101" s="11">
        <v>312440</v>
      </c>
      <c r="B101" s="11" t="s">
        <v>463</v>
      </c>
      <c r="C101" s="8">
        <v>1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19">
        <f t="shared" si="0"/>
        <v>1</v>
      </c>
      <c r="O101" s="24">
        <v>31113</v>
      </c>
      <c r="P101" s="18">
        <f t="shared" si="1"/>
        <v>3.2140905730723497</v>
      </c>
    </row>
    <row r="102" spans="1:16" ht="14.25" customHeight="1">
      <c r="A102" s="11">
        <v>312450</v>
      </c>
      <c r="B102" s="11" t="s">
        <v>464</v>
      </c>
      <c r="C102" s="8">
        <v>0</v>
      </c>
      <c r="D102" s="9">
        <v>0</v>
      </c>
      <c r="E102" s="9">
        <v>0</v>
      </c>
      <c r="F102" s="9">
        <v>1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19">
        <f t="shared" si="0"/>
        <v>1</v>
      </c>
      <c r="O102" s="24">
        <v>4706</v>
      </c>
      <c r="P102" s="18">
        <f t="shared" si="1"/>
        <v>21.249468763280916</v>
      </c>
    </row>
    <row r="103" spans="1:16" ht="14.25" customHeight="1">
      <c r="A103" s="11">
        <v>312480</v>
      </c>
      <c r="B103" s="11" t="s">
        <v>465</v>
      </c>
      <c r="C103" s="8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2</v>
      </c>
      <c r="N103" s="19">
        <f t="shared" si="0"/>
        <v>2</v>
      </c>
      <c r="O103" s="24">
        <v>11373</v>
      </c>
      <c r="P103" s="18">
        <f t="shared" si="1"/>
        <v>17.585509540138926</v>
      </c>
    </row>
    <row r="104" spans="1:16" ht="14.25" customHeight="1">
      <c r="A104" s="11">
        <v>312510</v>
      </c>
      <c r="B104" s="11" t="s">
        <v>466</v>
      </c>
      <c r="C104" s="8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8</v>
      </c>
      <c r="M104" s="9">
        <v>0</v>
      </c>
      <c r="N104" s="19">
        <f t="shared" si="0"/>
        <v>8</v>
      </c>
      <c r="O104" s="24">
        <v>8163</v>
      </c>
      <c r="P104" s="18">
        <f t="shared" si="1"/>
        <v>98.003185103515875</v>
      </c>
    </row>
    <row r="105" spans="1:16" ht="14.25" customHeight="1">
      <c r="A105" s="11">
        <v>312595</v>
      </c>
      <c r="B105" s="11" t="s">
        <v>467</v>
      </c>
      <c r="C105" s="8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1</v>
      </c>
      <c r="M105" s="9">
        <v>1</v>
      </c>
      <c r="N105" s="19">
        <f t="shared" si="0"/>
        <v>2</v>
      </c>
      <c r="O105" s="24">
        <v>36957</v>
      </c>
      <c r="P105" s="18">
        <f t="shared" si="1"/>
        <v>5.4116946721865951</v>
      </c>
    </row>
    <row r="106" spans="1:16" ht="14.25" customHeight="1">
      <c r="A106" s="11">
        <v>312610</v>
      </c>
      <c r="B106" s="11" t="s">
        <v>468</v>
      </c>
      <c r="C106" s="8">
        <v>4</v>
      </c>
      <c r="D106" s="9">
        <v>2</v>
      </c>
      <c r="E106" s="9">
        <v>0</v>
      </c>
      <c r="F106" s="9">
        <v>1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2</v>
      </c>
      <c r="M106" s="9">
        <v>0</v>
      </c>
      <c r="N106" s="19">
        <f t="shared" si="0"/>
        <v>9</v>
      </c>
      <c r="O106" s="24">
        <v>11026</v>
      </c>
      <c r="P106" s="18">
        <f t="shared" si="1"/>
        <v>81.625249410484315</v>
      </c>
    </row>
    <row r="107" spans="1:16" ht="14.25" customHeight="1">
      <c r="A107" s="11">
        <v>312620</v>
      </c>
      <c r="B107" s="11" t="s">
        <v>469</v>
      </c>
      <c r="C107" s="8">
        <v>2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19">
        <f t="shared" si="0"/>
        <v>2</v>
      </c>
      <c r="O107" s="24">
        <v>67844</v>
      </c>
      <c r="P107" s="18">
        <f t="shared" si="1"/>
        <v>2.9479393903661339</v>
      </c>
    </row>
    <row r="108" spans="1:16" ht="14.25" customHeight="1">
      <c r="A108" s="11">
        <v>312660</v>
      </c>
      <c r="B108" s="11" t="s">
        <v>470</v>
      </c>
      <c r="C108" s="8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1</v>
      </c>
      <c r="K108" s="9">
        <v>0</v>
      </c>
      <c r="L108" s="9">
        <v>0</v>
      </c>
      <c r="M108" s="9">
        <v>0</v>
      </c>
      <c r="N108" s="19">
        <f t="shared" si="0"/>
        <v>1</v>
      </c>
      <c r="O108" s="24">
        <v>10297</v>
      </c>
      <c r="P108" s="18">
        <f t="shared" si="1"/>
        <v>9.7115664756725266</v>
      </c>
    </row>
    <row r="109" spans="1:16" ht="14.25" customHeight="1">
      <c r="A109" s="11">
        <v>312670</v>
      </c>
      <c r="B109" s="11" t="s">
        <v>471</v>
      </c>
      <c r="C109" s="8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1</v>
      </c>
      <c r="M109" s="9">
        <v>0</v>
      </c>
      <c r="N109" s="19">
        <f t="shared" si="0"/>
        <v>1</v>
      </c>
      <c r="O109" s="24">
        <v>5232</v>
      </c>
      <c r="P109" s="18">
        <f t="shared" si="1"/>
        <v>19.113149847094803</v>
      </c>
    </row>
    <row r="110" spans="1:16" ht="14.25" customHeight="1">
      <c r="A110" s="11">
        <v>312710</v>
      </c>
      <c r="B110" s="11" t="s">
        <v>472</v>
      </c>
      <c r="C110" s="8">
        <v>2</v>
      </c>
      <c r="D110" s="9">
        <v>0</v>
      </c>
      <c r="E110" s="9">
        <v>0</v>
      </c>
      <c r="F110" s="9">
        <v>1</v>
      </c>
      <c r="G110" s="9">
        <v>1</v>
      </c>
      <c r="H110" s="9">
        <v>1</v>
      </c>
      <c r="I110" s="9">
        <v>0</v>
      </c>
      <c r="J110" s="9">
        <v>0</v>
      </c>
      <c r="K110" s="9">
        <v>0</v>
      </c>
      <c r="L110" s="9">
        <v>4</v>
      </c>
      <c r="M110" s="9">
        <v>3</v>
      </c>
      <c r="N110" s="19">
        <f t="shared" si="0"/>
        <v>12</v>
      </c>
      <c r="O110" s="24">
        <v>26385</v>
      </c>
      <c r="P110" s="18">
        <f t="shared" si="1"/>
        <v>45.480386583285956</v>
      </c>
    </row>
    <row r="111" spans="1:16" ht="14.25" customHeight="1">
      <c r="A111" s="11">
        <v>312770</v>
      </c>
      <c r="B111" s="11" t="s">
        <v>473</v>
      </c>
      <c r="C111" s="8">
        <v>2</v>
      </c>
      <c r="D111" s="9">
        <v>0</v>
      </c>
      <c r="E111" s="9">
        <v>2</v>
      </c>
      <c r="F111" s="9">
        <v>0</v>
      </c>
      <c r="G111" s="9">
        <v>2</v>
      </c>
      <c r="H111" s="9">
        <v>0</v>
      </c>
      <c r="I111" s="9">
        <v>0</v>
      </c>
      <c r="J111" s="9">
        <v>0</v>
      </c>
      <c r="K111" s="9">
        <v>0</v>
      </c>
      <c r="L111" s="9">
        <v>4</v>
      </c>
      <c r="M111" s="9">
        <v>2</v>
      </c>
      <c r="N111" s="19">
        <f t="shared" si="0"/>
        <v>12</v>
      </c>
      <c r="O111" s="24">
        <v>59988</v>
      </c>
      <c r="P111" s="18">
        <f t="shared" si="1"/>
        <v>20.004000800160032</v>
      </c>
    </row>
    <row r="112" spans="1:16" ht="14.25" customHeight="1">
      <c r="A112" s="11">
        <v>312800</v>
      </c>
      <c r="B112" s="11" t="s">
        <v>474</v>
      </c>
      <c r="C112" s="8">
        <v>2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3</v>
      </c>
      <c r="M112" s="9">
        <v>0</v>
      </c>
      <c r="N112" s="19">
        <f t="shared" si="0"/>
        <v>5</v>
      </c>
      <c r="O112" s="24">
        <v>281046</v>
      </c>
      <c r="P112" s="18">
        <f t="shared" si="1"/>
        <v>1.7790681952420599</v>
      </c>
    </row>
    <row r="113" spans="1:16" ht="14.25" customHeight="1">
      <c r="A113" s="11">
        <v>312810</v>
      </c>
      <c r="B113" s="11" t="s">
        <v>475</v>
      </c>
      <c r="C113" s="8">
        <v>1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19">
        <f t="shared" si="0"/>
        <v>1</v>
      </c>
      <c r="O113" s="24">
        <v>34803</v>
      </c>
      <c r="P113" s="18">
        <f t="shared" si="1"/>
        <v>2.8733155187771171</v>
      </c>
    </row>
    <row r="114" spans="1:16" ht="14.25" customHeight="1">
      <c r="A114" s="11">
        <v>312830</v>
      </c>
      <c r="B114" s="11" t="s">
        <v>476</v>
      </c>
      <c r="C114" s="8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1</v>
      </c>
      <c r="J114" s="9">
        <v>0</v>
      </c>
      <c r="K114" s="9">
        <v>0</v>
      </c>
      <c r="L114" s="9">
        <v>0</v>
      </c>
      <c r="M114" s="9">
        <v>0</v>
      </c>
      <c r="N114" s="19">
        <f t="shared" si="0"/>
        <v>1</v>
      </c>
      <c r="O114" s="24">
        <v>13974</v>
      </c>
      <c r="P114" s="18">
        <f t="shared" si="1"/>
        <v>7.1561471303850004</v>
      </c>
    </row>
    <row r="115" spans="1:16" ht="14.25" customHeight="1">
      <c r="A115" s="11">
        <v>312910</v>
      </c>
      <c r="B115" s="11" t="s">
        <v>477</v>
      </c>
      <c r="C115" s="8">
        <v>1</v>
      </c>
      <c r="D115" s="9">
        <v>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19">
        <f t="shared" si="0"/>
        <v>2</v>
      </c>
      <c r="O115" s="24">
        <v>19141</v>
      </c>
      <c r="P115" s="18">
        <f t="shared" si="1"/>
        <v>10.448774881145185</v>
      </c>
    </row>
    <row r="116" spans="1:16" ht="14.25" customHeight="1">
      <c r="A116" s="11">
        <v>312940</v>
      </c>
      <c r="B116" s="11" t="s">
        <v>478</v>
      </c>
      <c r="C116" s="8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</v>
      </c>
      <c r="M116" s="9">
        <v>0</v>
      </c>
      <c r="N116" s="19">
        <f t="shared" si="0"/>
        <v>1</v>
      </c>
      <c r="O116" s="24">
        <v>5614</v>
      </c>
      <c r="P116" s="18">
        <f t="shared" si="1"/>
        <v>17.812611328820804</v>
      </c>
    </row>
    <row r="117" spans="1:16" ht="14.25" customHeight="1">
      <c r="A117" s="11">
        <v>312970</v>
      </c>
      <c r="B117" s="11" t="s">
        <v>479</v>
      </c>
      <c r="C117" s="8">
        <v>5</v>
      </c>
      <c r="D117" s="9">
        <v>3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19">
        <f t="shared" si="0"/>
        <v>8</v>
      </c>
      <c r="O117" s="24">
        <v>4881</v>
      </c>
      <c r="P117" s="18">
        <f t="shared" si="1"/>
        <v>163.90083999180496</v>
      </c>
    </row>
    <row r="118" spans="1:16" ht="14.25" customHeight="1">
      <c r="A118" s="11">
        <v>312980</v>
      </c>
      <c r="B118" s="11" t="s">
        <v>480</v>
      </c>
      <c r="C118" s="8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2</v>
      </c>
      <c r="M118" s="9">
        <v>4</v>
      </c>
      <c r="N118" s="19">
        <f t="shared" si="0"/>
        <v>6</v>
      </c>
      <c r="O118" s="24">
        <v>13060</v>
      </c>
      <c r="P118" s="18">
        <f t="shared" si="1"/>
        <v>45.94180704441041</v>
      </c>
    </row>
    <row r="119" spans="1:16" ht="14.25" customHeight="1">
      <c r="A119" s="11">
        <v>313010</v>
      </c>
      <c r="B119" s="11" t="s">
        <v>481</v>
      </c>
      <c r="C119" s="8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2</v>
      </c>
      <c r="M119" s="9">
        <v>0</v>
      </c>
      <c r="N119" s="19">
        <f t="shared" si="0"/>
        <v>2</v>
      </c>
      <c r="O119" s="24">
        <v>182153</v>
      </c>
      <c r="P119" s="18">
        <f t="shared" si="1"/>
        <v>1.0979780733778746</v>
      </c>
    </row>
    <row r="120" spans="1:16" ht="14.25" customHeight="1">
      <c r="A120" s="11">
        <v>313020</v>
      </c>
      <c r="B120" s="11" t="s">
        <v>482</v>
      </c>
      <c r="C120" s="8">
        <v>1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19">
        <f t="shared" si="0"/>
        <v>1</v>
      </c>
      <c r="O120" s="24">
        <v>43893</v>
      </c>
      <c r="P120" s="18">
        <f t="shared" si="1"/>
        <v>2.2782676053129203</v>
      </c>
    </row>
    <row r="121" spans="1:16" ht="14.25" customHeight="1">
      <c r="A121" s="11">
        <v>313040</v>
      </c>
      <c r="B121" s="11" t="s">
        <v>483</v>
      </c>
      <c r="C121" s="8">
        <v>0</v>
      </c>
      <c r="D121" s="9">
        <v>0</v>
      </c>
      <c r="E121" s="9">
        <v>1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19">
        <f t="shared" si="0"/>
        <v>1</v>
      </c>
      <c r="O121" s="24">
        <v>11137</v>
      </c>
      <c r="P121" s="18">
        <f t="shared" si="1"/>
        <v>8.9790787465206066</v>
      </c>
    </row>
    <row r="122" spans="1:16" ht="14.25" customHeight="1">
      <c r="A122" s="11">
        <v>313060</v>
      </c>
      <c r="B122" s="11" t="s">
        <v>484</v>
      </c>
      <c r="C122" s="8">
        <v>1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</v>
      </c>
      <c r="M122" s="9">
        <v>0</v>
      </c>
      <c r="N122" s="19">
        <f t="shared" si="0"/>
        <v>2</v>
      </c>
      <c r="O122" s="24">
        <v>6551</v>
      </c>
      <c r="P122" s="18">
        <f t="shared" si="1"/>
        <v>30.529690123645249</v>
      </c>
    </row>
    <row r="123" spans="1:16" ht="14.25" customHeight="1">
      <c r="A123" s="11">
        <v>313080</v>
      </c>
      <c r="B123" s="11" t="s">
        <v>485</v>
      </c>
      <c r="C123" s="8">
        <v>0</v>
      </c>
      <c r="D123" s="9">
        <v>0</v>
      </c>
      <c r="E123" s="9">
        <v>0</v>
      </c>
      <c r="F123" s="9">
        <v>1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19">
        <f t="shared" si="0"/>
        <v>1</v>
      </c>
      <c r="O123" s="24">
        <v>7340</v>
      </c>
      <c r="P123" s="18">
        <f t="shared" si="1"/>
        <v>13.623978201634879</v>
      </c>
    </row>
    <row r="124" spans="1:16" ht="14.25" customHeight="1">
      <c r="A124" s="11">
        <v>313090</v>
      </c>
      <c r="B124" s="11" t="s">
        <v>486</v>
      </c>
      <c r="C124" s="8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</v>
      </c>
      <c r="M124" s="9">
        <v>1</v>
      </c>
      <c r="N124" s="19">
        <f t="shared" si="0"/>
        <v>2</v>
      </c>
      <c r="O124" s="24">
        <v>2768</v>
      </c>
      <c r="P124" s="18">
        <f t="shared" si="1"/>
        <v>72.25433526011561</v>
      </c>
    </row>
    <row r="125" spans="1:16" ht="14.25" customHeight="1">
      <c r="A125" s="11">
        <v>313130</v>
      </c>
      <c r="B125" s="11" t="s">
        <v>487</v>
      </c>
      <c r="C125" s="8">
        <v>0</v>
      </c>
      <c r="D125" s="9">
        <v>0</v>
      </c>
      <c r="E125" s="9">
        <v>2</v>
      </c>
      <c r="F125" s="9">
        <v>1</v>
      </c>
      <c r="G125" s="9">
        <v>1</v>
      </c>
      <c r="H125" s="9">
        <v>0</v>
      </c>
      <c r="I125" s="9">
        <v>0</v>
      </c>
      <c r="J125" s="9">
        <v>2</v>
      </c>
      <c r="K125" s="9">
        <v>2</v>
      </c>
      <c r="L125" s="9">
        <v>14</v>
      </c>
      <c r="M125" s="9">
        <v>16</v>
      </c>
      <c r="N125" s="19">
        <f t="shared" si="0"/>
        <v>38</v>
      </c>
      <c r="O125" s="24">
        <v>23951</v>
      </c>
      <c r="P125" s="18">
        <f t="shared" si="1"/>
        <v>158.65725856957954</v>
      </c>
    </row>
    <row r="126" spans="1:16" ht="14.25" customHeight="1">
      <c r="A126" s="11">
        <v>313140</v>
      </c>
      <c r="B126" s="11" t="s">
        <v>488</v>
      </c>
      <c r="C126" s="8">
        <v>1</v>
      </c>
      <c r="D126" s="9">
        <v>0</v>
      </c>
      <c r="E126" s="9">
        <v>0</v>
      </c>
      <c r="F126" s="9">
        <v>0</v>
      </c>
      <c r="G126" s="9">
        <v>1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19">
        <f t="shared" si="0"/>
        <v>2</v>
      </c>
      <c r="O126" s="24">
        <v>265409</v>
      </c>
      <c r="P126" s="18">
        <f t="shared" si="1"/>
        <v>0.75355394881108018</v>
      </c>
    </row>
    <row r="127" spans="1:16" ht="14.25" customHeight="1">
      <c r="A127" s="11">
        <v>313150</v>
      </c>
      <c r="B127" s="11" t="s">
        <v>489</v>
      </c>
      <c r="C127" s="8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1</v>
      </c>
      <c r="M127" s="9">
        <v>0</v>
      </c>
      <c r="N127" s="19">
        <f t="shared" si="0"/>
        <v>1</v>
      </c>
      <c r="O127" s="24">
        <v>4269</v>
      </c>
      <c r="P127" s="18">
        <f t="shared" si="1"/>
        <v>23.424689622862498</v>
      </c>
    </row>
    <row r="128" spans="1:16" ht="14.25" customHeight="1">
      <c r="A128" s="11">
        <v>313170</v>
      </c>
      <c r="B128" s="11" t="s">
        <v>490</v>
      </c>
      <c r="C128" s="8">
        <v>0</v>
      </c>
      <c r="D128" s="9">
        <v>1</v>
      </c>
      <c r="E128" s="9">
        <v>1</v>
      </c>
      <c r="F128" s="9">
        <v>6</v>
      </c>
      <c r="G128" s="9">
        <v>2</v>
      </c>
      <c r="H128" s="9">
        <v>0</v>
      </c>
      <c r="I128" s="9">
        <v>1</v>
      </c>
      <c r="J128" s="9">
        <v>0</v>
      </c>
      <c r="K128" s="9">
        <v>1</v>
      </c>
      <c r="L128" s="9">
        <v>11</v>
      </c>
      <c r="M128" s="9">
        <v>3</v>
      </c>
      <c r="N128" s="19">
        <f t="shared" si="0"/>
        <v>26</v>
      </c>
      <c r="O128" s="24">
        <v>10057</v>
      </c>
      <c r="P128" s="18">
        <f t="shared" si="1"/>
        <v>258.52639952272051</v>
      </c>
    </row>
    <row r="129" spans="1:16" ht="14.25" customHeight="1">
      <c r="A129" s="11">
        <v>313190</v>
      </c>
      <c r="B129" s="11" t="s">
        <v>491</v>
      </c>
      <c r="C129" s="8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7</v>
      </c>
      <c r="M129" s="9">
        <v>6</v>
      </c>
      <c r="N129" s="19">
        <f t="shared" si="0"/>
        <v>13</v>
      </c>
      <c r="O129" s="24">
        <v>120904</v>
      </c>
      <c r="P129" s="18">
        <f t="shared" si="1"/>
        <v>10.752332429034606</v>
      </c>
    </row>
    <row r="130" spans="1:16" ht="14.25" customHeight="1">
      <c r="A130" s="11">
        <v>313210</v>
      </c>
      <c r="B130" s="11" t="s">
        <v>492</v>
      </c>
      <c r="C130" s="8">
        <v>0</v>
      </c>
      <c r="D130" s="9">
        <v>0</v>
      </c>
      <c r="E130" s="9">
        <v>0</v>
      </c>
      <c r="F130" s="9">
        <v>1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19">
        <f t="shared" si="0"/>
        <v>1</v>
      </c>
      <c r="O130" s="24">
        <v>52418</v>
      </c>
      <c r="P130" s="18">
        <f t="shared" si="1"/>
        <v>1.9077416154756002</v>
      </c>
    </row>
    <row r="131" spans="1:16" ht="14.25" customHeight="1">
      <c r="A131" s="11">
        <v>313240</v>
      </c>
      <c r="B131" s="11" t="s">
        <v>493</v>
      </c>
      <c r="C131" s="8">
        <v>2</v>
      </c>
      <c r="D131" s="9">
        <v>2</v>
      </c>
      <c r="E131" s="9">
        <v>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7</v>
      </c>
      <c r="M131" s="9">
        <v>6</v>
      </c>
      <c r="N131" s="19">
        <f t="shared" si="0"/>
        <v>21</v>
      </c>
      <c r="O131" s="24">
        <v>18170</v>
      </c>
      <c r="P131" s="18">
        <f t="shared" si="1"/>
        <v>115.57512383048982</v>
      </c>
    </row>
    <row r="132" spans="1:16" ht="14.25" customHeight="1">
      <c r="A132" s="11">
        <v>313270</v>
      </c>
      <c r="B132" s="11" t="s">
        <v>494</v>
      </c>
      <c r="C132" s="8">
        <v>0</v>
      </c>
      <c r="D132" s="9">
        <v>1</v>
      </c>
      <c r="E132" s="9">
        <v>0</v>
      </c>
      <c r="F132" s="9">
        <v>2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</v>
      </c>
      <c r="N132" s="19">
        <f t="shared" si="0"/>
        <v>4</v>
      </c>
      <c r="O132" s="24">
        <v>97334</v>
      </c>
      <c r="P132" s="18">
        <f t="shared" si="1"/>
        <v>4.1095608934185384</v>
      </c>
    </row>
    <row r="133" spans="1:16" ht="14.25" customHeight="1">
      <c r="A133" s="11">
        <v>313300</v>
      </c>
      <c r="B133" s="11" t="s">
        <v>495</v>
      </c>
      <c r="C133" s="8">
        <v>0</v>
      </c>
      <c r="D133" s="9">
        <v>0</v>
      </c>
      <c r="E133" s="9">
        <v>1</v>
      </c>
      <c r="F133" s="9">
        <v>28</v>
      </c>
      <c r="G133" s="9">
        <v>3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1</v>
      </c>
      <c r="N133" s="19">
        <f t="shared" si="0"/>
        <v>33</v>
      </c>
      <c r="O133" s="24">
        <v>23181</v>
      </c>
      <c r="P133" s="18">
        <f t="shared" si="1"/>
        <v>142.35796557525558</v>
      </c>
    </row>
    <row r="134" spans="1:16" ht="14.25" customHeight="1">
      <c r="A134" s="11">
        <v>313310</v>
      </c>
      <c r="B134" s="11" t="s">
        <v>496</v>
      </c>
      <c r="C134" s="8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2</v>
      </c>
      <c r="N134" s="19">
        <f t="shared" si="0"/>
        <v>2</v>
      </c>
      <c r="O134" s="24">
        <v>15688</v>
      </c>
      <c r="P134" s="18">
        <f t="shared" si="1"/>
        <v>12.748597654258033</v>
      </c>
    </row>
    <row r="135" spans="1:16" ht="14.25" customHeight="1">
      <c r="A135" s="11">
        <v>313330</v>
      </c>
      <c r="B135" s="11" t="s">
        <v>497</v>
      </c>
      <c r="C135" s="8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</v>
      </c>
      <c r="N135" s="19">
        <f t="shared" si="0"/>
        <v>1</v>
      </c>
      <c r="O135" s="24">
        <v>15424</v>
      </c>
      <c r="P135" s="18">
        <f t="shared" si="1"/>
        <v>6.4834024896265561</v>
      </c>
    </row>
    <row r="136" spans="1:16" ht="14.25" customHeight="1">
      <c r="A136" s="11">
        <v>313340</v>
      </c>
      <c r="B136" s="11" t="s">
        <v>498</v>
      </c>
      <c r="C136" s="8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</v>
      </c>
      <c r="L136" s="9">
        <v>2</v>
      </c>
      <c r="M136" s="9">
        <v>1</v>
      </c>
      <c r="N136" s="19">
        <f t="shared" si="0"/>
        <v>4</v>
      </c>
      <c r="O136" s="24">
        <v>21031</v>
      </c>
      <c r="P136" s="18">
        <f t="shared" si="1"/>
        <v>19.019542580000952</v>
      </c>
    </row>
    <row r="137" spans="1:16" ht="14.25" customHeight="1">
      <c r="A137" s="11">
        <v>313370</v>
      </c>
      <c r="B137" s="11" t="s">
        <v>499</v>
      </c>
      <c r="C137" s="8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</v>
      </c>
      <c r="M137" s="9">
        <v>0</v>
      </c>
      <c r="N137" s="19">
        <f t="shared" si="0"/>
        <v>1</v>
      </c>
      <c r="O137" s="24">
        <v>15394</v>
      </c>
      <c r="P137" s="18">
        <f t="shared" si="1"/>
        <v>6.4960374171755229</v>
      </c>
    </row>
    <row r="138" spans="1:16" ht="14.25" customHeight="1">
      <c r="A138" s="11">
        <v>313380</v>
      </c>
      <c r="B138" s="11" t="s">
        <v>500</v>
      </c>
      <c r="C138" s="8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2</v>
      </c>
      <c r="N138" s="19">
        <f t="shared" si="0"/>
        <v>2</v>
      </c>
      <c r="O138" s="24">
        <v>11365</v>
      </c>
      <c r="P138" s="18">
        <f t="shared" si="1"/>
        <v>17.59788825340959</v>
      </c>
    </row>
    <row r="139" spans="1:16" ht="14.25" customHeight="1">
      <c r="A139" s="11">
        <v>313420</v>
      </c>
      <c r="B139" s="11" t="s">
        <v>501</v>
      </c>
      <c r="C139" s="8">
        <v>0</v>
      </c>
      <c r="D139" s="9">
        <v>0</v>
      </c>
      <c r="E139" s="9">
        <v>0</v>
      </c>
      <c r="F139" s="9">
        <v>1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3</v>
      </c>
      <c r="M139" s="9">
        <v>11</v>
      </c>
      <c r="N139" s="19">
        <f t="shared" si="0"/>
        <v>15</v>
      </c>
      <c r="O139" s="24">
        <v>93843</v>
      </c>
      <c r="P139" s="18">
        <f t="shared" si="1"/>
        <v>15.984143729420415</v>
      </c>
    </row>
    <row r="140" spans="1:16" ht="14.25" customHeight="1">
      <c r="A140" s="11">
        <v>313440</v>
      </c>
      <c r="B140" s="11" t="s">
        <v>502</v>
      </c>
      <c r="C140" s="8">
        <v>1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19">
        <f t="shared" si="0"/>
        <v>1</v>
      </c>
      <c r="O140" s="24">
        <v>105255</v>
      </c>
      <c r="P140" s="18">
        <f t="shared" si="1"/>
        <v>0.95007363070637973</v>
      </c>
    </row>
    <row r="141" spans="1:16" ht="14.25" customHeight="1">
      <c r="A141" s="11">
        <v>313460</v>
      </c>
      <c r="B141" s="11" t="s">
        <v>503</v>
      </c>
      <c r="C141" s="8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1</v>
      </c>
      <c r="N141" s="19">
        <f t="shared" si="0"/>
        <v>1</v>
      </c>
      <c r="O141" s="24">
        <v>39803</v>
      </c>
      <c r="P141" s="18">
        <f t="shared" si="1"/>
        <v>2.5123734391880008</v>
      </c>
    </row>
    <row r="142" spans="1:16" ht="14.25" customHeight="1">
      <c r="A142" s="11">
        <v>313510</v>
      </c>
      <c r="B142" s="11" t="s">
        <v>504</v>
      </c>
      <c r="C142" s="8">
        <v>0</v>
      </c>
      <c r="D142" s="9">
        <v>0</v>
      </c>
      <c r="E142" s="9">
        <v>1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6</v>
      </c>
      <c r="N142" s="19">
        <f t="shared" si="0"/>
        <v>7</v>
      </c>
      <c r="O142" s="24">
        <v>20371</v>
      </c>
      <c r="P142" s="18">
        <f t="shared" si="1"/>
        <v>34.362574247705069</v>
      </c>
    </row>
    <row r="143" spans="1:16" ht="14.25" customHeight="1">
      <c r="A143" s="11">
        <v>313520</v>
      </c>
      <c r="B143" s="11" t="s">
        <v>505</v>
      </c>
      <c r="C143" s="8">
        <v>0</v>
      </c>
      <c r="D143" s="9">
        <v>0</v>
      </c>
      <c r="E143" s="9">
        <v>0</v>
      </c>
      <c r="F143" s="9">
        <v>0</v>
      </c>
      <c r="G143" s="9">
        <v>11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12</v>
      </c>
      <c r="N143" s="19">
        <f t="shared" si="0"/>
        <v>23</v>
      </c>
      <c r="O143" s="24">
        <v>72018</v>
      </c>
      <c r="P143" s="18">
        <f t="shared" si="1"/>
        <v>31.936460329362106</v>
      </c>
    </row>
    <row r="144" spans="1:16" ht="14.25" customHeight="1">
      <c r="A144" s="11">
        <v>313580</v>
      </c>
      <c r="B144" s="11" t="s">
        <v>506</v>
      </c>
      <c r="C144" s="8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1</v>
      </c>
      <c r="J144" s="9">
        <v>0</v>
      </c>
      <c r="K144" s="9">
        <v>0</v>
      </c>
      <c r="L144" s="9">
        <v>0</v>
      </c>
      <c r="M144" s="9">
        <v>0</v>
      </c>
      <c r="N144" s="19">
        <f t="shared" si="0"/>
        <v>1</v>
      </c>
      <c r="O144" s="24">
        <v>67852</v>
      </c>
      <c r="P144" s="18">
        <f t="shared" si="1"/>
        <v>1.4737959087425574</v>
      </c>
    </row>
    <row r="145" spans="1:16" ht="14.25" customHeight="1">
      <c r="A145" s="11">
        <v>313610</v>
      </c>
      <c r="B145" s="11" t="s">
        <v>507</v>
      </c>
      <c r="C145" s="8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7</v>
      </c>
      <c r="N145" s="19">
        <f t="shared" si="0"/>
        <v>7</v>
      </c>
      <c r="O145" s="24">
        <v>25419</v>
      </c>
      <c r="P145" s="18">
        <f t="shared" si="1"/>
        <v>27.538455486053738</v>
      </c>
    </row>
    <row r="146" spans="1:16" ht="14.25" customHeight="1">
      <c r="A146" s="11">
        <v>313620</v>
      </c>
      <c r="B146" s="11" t="s">
        <v>508</v>
      </c>
      <c r="C146" s="8">
        <v>0</v>
      </c>
      <c r="D146" s="9">
        <v>0</v>
      </c>
      <c r="E146" s="9">
        <v>1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19">
        <f t="shared" si="0"/>
        <v>2</v>
      </c>
      <c r="O146" s="24">
        <v>5267</v>
      </c>
      <c r="P146" s="18">
        <f t="shared" si="1"/>
        <v>37.972280235428137</v>
      </c>
    </row>
    <row r="147" spans="1:16" ht="14.25" customHeight="1">
      <c r="A147" s="11">
        <v>313630</v>
      </c>
      <c r="B147" s="11" t="s">
        <v>509</v>
      </c>
      <c r="C147" s="8">
        <v>0</v>
      </c>
      <c r="D147" s="9">
        <v>0</v>
      </c>
      <c r="E147" s="9">
        <v>0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19">
        <f t="shared" si="0"/>
        <v>1</v>
      </c>
      <c r="O147" s="24">
        <v>80187</v>
      </c>
      <c r="P147" s="18">
        <f t="shared" si="1"/>
        <v>1.2470849389551923</v>
      </c>
    </row>
    <row r="148" spans="1:16" ht="14.25" customHeight="1">
      <c r="A148" s="11">
        <v>313660</v>
      </c>
      <c r="B148" s="11" t="s">
        <v>510</v>
      </c>
      <c r="C148" s="8">
        <v>1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19">
        <f t="shared" si="0"/>
        <v>1</v>
      </c>
      <c r="O148" s="24">
        <v>47990</v>
      </c>
      <c r="P148" s="18">
        <f t="shared" si="1"/>
        <v>2.0837674515524065</v>
      </c>
    </row>
    <row r="149" spans="1:16" ht="14.25" customHeight="1">
      <c r="A149" s="11">
        <v>313665</v>
      </c>
      <c r="B149" s="11" t="s">
        <v>511</v>
      </c>
      <c r="C149" s="8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4</v>
      </c>
      <c r="N149" s="19">
        <f t="shared" si="0"/>
        <v>4</v>
      </c>
      <c r="O149" s="24">
        <v>27286</v>
      </c>
      <c r="P149" s="18">
        <f t="shared" si="1"/>
        <v>14.659532360917687</v>
      </c>
    </row>
    <row r="150" spans="1:16" ht="14.25" customHeight="1">
      <c r="A150" s="11">
        <v>313670</v>
      </c>
      <c r="B150" s="11" t="s">
        <v>512</v>
      </c>
      <c r="C150" s="8">
        <v>1</v>
      </c>
      <c r="D150" s="9">
        <v>6</v>
      </c>
      <c r="E150" s="9">
        <v>12</v>
      </c>
      <c r="F150" s="9">
        <v>0</v>
      </c>
      <c r="G150" s="9">
        <v>1</v>
      </c>
      <c r="H150" s="9">
        <v>0</v>
      </c>
      <c r="I150" s="9">
        <v>0</v>
      </c>
      <c r="J150" s="9">
        <v>0</v>
      </c>
      <c r="K150" s="9">
        <v>0</v>
      </c>
      <c r="L150" s="9">
        <v>1</v>
      </c>
      <c r="M150" s="9">
        <v>0</v>
      </c>
      <c r="N150" s="19">
        <f t="shared" si="0"/>
        <v>21</v>
      </c>
      <c r="O150" s="24">
        <v>573285</v>
      </c>
      <c r="P150" s="18">
        <f t="shared" si="1"/>
        <v>3.6630995054815663</v>
      </c>
    </row>
    <row r="151" spans="1:16" ht="14.25" customHeight="1">
      <c r="A151" s="11">
        <v>313700</v>
      </c>
      <c r="B151" s="11" t="s">
        <v>513</v>
      </c>
      <c r="C151" s="8">
        <v>0</v>
      </c>
      <c r="D151" s="9">
        <v>0</v>
      </c>
      <c r="E151" s="9">
        <v>1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19">
        <f t="shared" si="0"/>
        <v>1</v>
      </c>
      <c r="O151" s="24">
        <v>18046</v>
      </c>
      <c r="P151" s="18">
        <f t="shared" si="1"/>
        <v>5.5413942147844404</v>
      </c>
    </row>
    <row r="152" spans="1:16" ht="14.25" customHeight="1">
      <c r="A152" s="11">
        <v>313740</v>
      </c>
      <c r="B152" s="11" t="s">
        <v>514</v>
      </c>
      <c r="C152" s="8">
        <v>0</v>
      </c>
      <c r="D152" s="9">
        <v>0</v>
      </c>
      <c r="E152" s="9">
        <v>0</v>
      </c>
      <c r="F152" s="9">
        <v>3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</v>
      </c>
      <c r="M152" s="9">
        <v>0</v>
      </c>
      <c r="N152" s="19">
        <f t="shared" si="0"/>
        <v>4</v>
      </c>
      <c r="O152" s="24">
        <v>13076</v>
      </c>
      <c r="P152" s="18">
        <f t="shared" si="1"/>
        <v>30.590394616090549</v>
      </c>
    </row>
    <row r="153" spans="1:16" ht="14.25" customHeight="1">
      <c r="A153" s="11">
        <v>313760</v>
      </c>
      <c r="B153" s="11" t="s">
        <v>515</v>
      </c>
      <c r="C153" s="8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1</v>
      </c>
      <c r="N153" s="19">
        <f t="shared" si="0"/>
        <v>1</v>
      </c>
      <c r="O153" s="24">
        <v>65718</v>
      </c>
      <c r="P153" s="18">
        <f t="shared" si="1"/>
        <v>1.5216531239538635</v>
      </c>
    </row>
    <row r="154" spans="1:16" ht="14.25" customHeight="1">
      <c r="A154" s="11">
        <v>313800</v>
      </c>
      <c r="B154" s="11" t="s">
        <v>516</v>
      </c>
      <c r="C154" s="8">
        <v>0</v>
      </c>
      <c r="D154" s="9">
        <v>0</v>
      </c>
      <c r="E154" s="9">
        <v>0</v>
      </c>
      <c r="F154" s="9">
        <v>0</v>
      </c>
      <c r="G154" s="9">
        <v>1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19">
        <f t="shared" si="0"/>
        <v>1</v>
      </c>
      <c r="O154" s="24">
        <v>6848</v>
      </c>
      <c r="P154" s="18">
        <f t="shared" si="1"/>
        <v>14.602803738317755</v>
      </c>
    </row>
    <row r="155" spans="1:16" ht="14.25" customHeight="1">
      <c r="A155" s="11">
        <v>313820</v>
      </c>
      <c r="B155" s="11" t="s">
        <v>517</v>
      </c>
      <c r="C155" s="8">
        <v>3</v>
      </c>
      <c r="D155" s="9">
        <v>0</v>
      </c>
      <c r="E155" s="9">
        <v>0</v>
      </c>
      <c r="F155" s="9">
        <v>1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4</v>
      </c>
      <c r="M155" s="9">
        <v>2</v>
      </c>
      <c r="N155" s="19">
        <f t="shared" si="0"/>
        <v>10</v>
      </c>
      <c r="O155" s="24">
        <v>104786</v>
      </c>
      <c r="P155" s="18">
        <f t="shared" si="1"/>
        <v>9.5432595957475232</v>
      </c>
    </row>
    <row r="156" spans="1:16" ht="14.25" customHeight="1">
      <c r="A156" s="11">
        <v>313840</v>
      </c>
      <c r="B156" s="11" t="s">
        <v>518</v>
      </c>
      <c r="C156" s="8">
        <v>0</v>
      </c>
      <c r="D156" s="9">
        <v>0</v>
      </c>
      <c r="E156" s="9">
        <v>6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14</v>
      </c>
      <c r="M156" s="9">
        <v>0</v>
      </c>
      <c r="N156" s="19">
        <f t="shared" si="0"/>
        <v>20</v>
      </c>
      <c r="O156" s="24">
        <v>52640</v>
      </c>
      <c r="P156" s="18">
        <f t="shared" si="1"/>
        <v>37.993920972644375</v>
      </c>
    </row>
    <row r="157" spans="1:16" ht="14.25" customHeight="1">
      <c r="A157" s="11">
        <v>313860</v>
      </c>
      <c r="B157" s="11" t="s">
        <v>519</v>
      </c>
      <c r="C157" s="8">
        <v>0</v>
      </c>
      <c r="D157" s="9">
        <v>0</v>
      </c>
      <c r="E157" s="9">
        <v>0</v>
      </c>
      <c r="F157" s="9">
        <v>0</v>
      </c>
      <c r="G157" s="9">
        <v>2</v>
      </c>
      <c r="H157" s="9">
        <v>0</v>
      </c>
      <c r="I157" s="9">
        <v>0</v>
      </c>
      <c r="J157" s="9">
        <v>0</v>
      </c>
      <c r="K157" s="9">
        <v>0</v>
      </c>
      <c r="L157" s="9">
        <v>1</v>
      </c>
      <c r="M157" s="9">
        <v>0</v>
      </c>
      <c r="N157" s="19">
        <f t="shared" si="0"/>
        <v>3</v>
      </c>
      <c r="O157" s="24">
        <v>16724</v>
      </c>
      <c r="P157" s="18">
        <f t="shared" si="1"/>
        <v>17.93829227457546</v>
      </c>
    </row>
    <row r="158" spans="1:16" ht="14.25" customHeight="1">
      <c r="A158" s="11">
        <v>313865</v>
      </c>
      <c r="B158" s="11" t="s">
        <v>520</v>
      </c>
      <c r="C158" s="8">
        <v>1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1</v>
      </c>
      <c r="N158" s="19">
        <f t="shared" si="0"/>
        <v>2</v>
      </c>
      <c r="O158" s="24">
        <v>9728</v>
      </c>
      <c r="P158" s="18">
        <f t="shared" si="1"/>
        <v>20.559210526315788</v>
      </c>
    </row>
    <row r="159" spans="1:16" ht="14.25" customHeight="1">
      <c r="A159" s="11">
        <v>313900</v>
      </c>
      <c r="B159" s="11" t="s">
        <v>521</v>
      </c>
      <c r="C159" s="8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1</v>
      </c>
      <c r="N159" s="19">
        <f t="shared" si="0"/>
        <v>1</v>
      </c>
      <c r="O159" s="24">
        <v>42213</v>
      </c>
      <c r="P159" s="18">
        <f t="shared" si="1"/>
        <v>2.368938478667709</v>
      </c>
    </row>
    <row r="160" spans="1:16" ht="14.25" customHeight="1">
      <c r="A160" s="11">
        <v>313920</v>
      </c>
      <c r="B160" s="11" t="s">
        <v>522</v>
      </c>
      <c r="C160" s="8">
        <v>0</v>
      </c>
      <c r="D160" s="9">
        <v>0</v>
      </c>
      <c r="E160" s="9">
        <v>0</v>
      </c>
      <c r="F160" s="9">
        <v>1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19">
        <f t="shared" si="0"/>
        <v>1</v>
      </c>
      <c r="O160" s="24">
        <v>18441</v>
      </c>
      <c r="P160" s="18">
        <f t="shared" si="1"/>
        <v>5.4226994197711624</v>
      </c>
    </row>
    <row r="161" spans="1:16" ht="14.25" customHeight="1">
      <c r="A161" s="11">
        <v>313940</v>
      </c>
      <c r="B161" s="11" t="s">
        <v>523</v>
      </c>
      <c r="C161" s="8">
        <v>0</v>
      </c>
      <c r="D161" s="9">
        <v>1</v>
      </c>
      <c r="E161" s="9">
        <v>1</v>
      </c>
      <c r="F161" s="9">
        <v>4</v>
      </c>
      <c r="G161" s="9">
        <v>0</v>
      </c>
      <c r="H161" s="9">
        <v>1</v>
      </c>
      <c r="I161" s="9">
        <v>0</v>
      </c>
      <c r="J161" s="9">
        <v>0</v>
      </c>
      <c r="K161" s="9">
        <v>0</v>
      </c>
      <c r="L161" s="9">
        <v>1</v>
      </c>
      <c r="M161" s="9">
        <v>5</v>
      </c>
      <c r="N161" s="19">
        <f t="shared" si="0"/>
        <v>13</v>
      </c>
      <c r="O161" s="24">
        <v>91169</v>
      </c>
      <c r="P161" s="18">
        <f t="shared" si="1"/>
        <v>14.259232853272493</v>
      </c>
    </row>
    <row r="162" spans="1:16" ht="14.25" customHeight="1">
      <c r="A162" s="11">
        <v>313990</v>
      </c>
      <c r="B162" s="11" t="s">
        <v>524</v>
      </c>
      <c r="C162" s="8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1</v>
      </c>
      <c r="M162" s="9">
        <v>0</v>
      </c>
      <c r="N162" s="19">
        <f t="shared" si="0"/>
        <v>1</v>
      </c>
      <c r="O162" s="24">
        <v>14120</v>
      </c>
      <c r="P162" s="18">
        <f t="shared" si="1"/>
        <v>7.0821529745042486</v>
      </c>
    </row>
    <row r="163" spans="1:16" ht="14.25" customHeight="1">
      <c r="A163" s="11">
        <v>314000</v>
      </c>
      <c r="B163" s="11" t="s">
        <v>525</v>
      </c>
      <c r="C163" s="8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5</v>
      </c>
      <c r="M163" s="9">
        <v>1</v>
      </c>
      <c r="N163" s="19">
        <f t="shared" si="0"/>
        <v>6</v>
      </c>
      <c r="O163" s="24">
        <v>61211</v>
      </c>
      <c r="P163" s="18">
        <f t="shared" si="1"/>
        <v>9.8021597425299376</v>
      </c>
    </row>
    <row r="164" spans="1:16" ht="14.25" customHeight="1">
      <c r="A164" s="11">
        <v>314050</v>
      </c>
      <c r="B164" s="11" t="s">
        <v>526</v>
      </c>
      <c r="C164" s="8">
        <v>0</v>
      </c>
      <c r="D164" s="9">
        <v>0</v>
      </c>
      <c r="E164" s="9">
        <v>0</v>
      </c>
      <c r="F164" s="9">
        <v>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19">
        <f t="shared" si="0"/>
        <v>1</v>
      </c>
      <c r="O164" s="24">
        <v>13431</v>
      </c>
      <c r="P164" s="18">
        <f t="shared" si="1"/>
        <v>7.4454619909165354</v>
      </c>
    </row>
    <row r="165" spans="1:16" ht="14.25" customHeight="1">
      <c r="A165" s="11">
        <v>314070</v>
      </c>
      <c r="B165" s="11" t="s">
        <v>527</v>
      </c>
      <c r="C165" s="8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</v>
      </c>
      <c r="N165" s="19">
        <f t="shared" si="0"/>
        <v>1</v>
      </c>
      <c r="O165" s="24">
        <v>31364</v>
      </c>
      <c r="P165" s="18">
        <f t="shared" si="1"/>
        <v>3.1883688305063131</v>
      </c>
    </row>
    <row r="166" spans="1:16" ht="14.25" customHeight="1">
      <c r="A166" s="11">
        <v>314090</v>
      </c>
      <c r="B166" s="11" t="s">
        <v>528</v>
      </c>
      <c r="C166" s="8">
        <v>0</v>
      </c>
      <c r="D166" s="9">
        <v>0</v>
      </c>
      <c r="E166" s="9">
        <v>2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19">
        <f t="shared" si="0"/>
        <v>2</v>
      </c>
      <c r="O166" s="24">
        <v>18966</v>
      </c>
      <c r="P166" s="18">
        <f t="shared" si="1"/>
        <v>10.545186122535062</v>
      </c>
    </row>
    <row r="167" spans="1:16" ht="14.25" customHeight="1">
      <c r="A167" s="11">
        <v>314110</v>
      </c>
      <c r="B167" s="11" t="s">
        <v>529</v>
      </c>
      <c r="C167" s="8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1</v>
      </c>
      <c r="M167" s="9">
        <v>0</v>
      </c>
      <c r="N167" s="19">
        <f t="shared" si="0"/>
        <v>1</v>
      </c>
      <c r="O167" s="24">
        <v>38083</v>
      </c>
      <c r="P167" s="18">
        <f t="shared" si="1"/>
        <v>2.6258435522411574</v>
      </c>
    </row>
    <row r="168" spans="1:16" ht="14.25" customHeight="1">
      <c r="A168" s="11">
        <v>314120</v>
      </c>
      <c r="B168" s="11" t="s">
        <v>530</v>
      </c>
      <c r="C168" s="8">
        <v>1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19">
        <f t="shared" si="0"/>
        <v>1</v>
      </c>
      <c r="O168" s="24">
        <v>3824</v>
      </c>
      <c r="P168" s="18">
        <f t="shared" si="1"/>
        <v>26.15062761506276</v>
      </c>
    </row>
    <row r="169" spans="1:16" ht="14.25" customHeight="1">
      <c r="A169" s="11">
        <v>314160</v>
      </c>
      <c r="B169" s="11" t="s">
        <v>531</v>
      </c>
      <c r="C169" s="8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1</v>
      </c>
      <c r="L169" s="9">
        <v>3</v>
      </c>
      <c r="M169" s="9">
        <v>0</v>
      </c>
      <c r="N169" s="19">
        <f t="shared" si="0"/>
        <v>4</v>
      </c>
      <c r="O169" s="24">
        <v>10741</v>
      </c>
      <c r="P169" s="18">
        <f t="shared" si="1"/>
        <v>37.240480402197193</v>
      </c>
    </row>
    <row r="170" spans="1:16" ht="14.25" customHeight="1">
      <c r="A170" s="11">
        <v>314170</v>
      </c>
      <c r="B170" s="11" t="s">
        <v>282</v>
      </c>
      <c r="C170" s="8">
        <v>1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19">
        <f t="shared" si="0"/>
        <v>1</v>
      </c>
      <c r="O170" s="24">
        <v>5378</v>
      </c>
      <c r="P170" s="18">
        <f t="shared" si="1"/>
        <v>18.594272963927111</v>
      </c>
    </row>
    <row r="171" spans="1:16" ht="14.25" customHeight="1">
      <c r="A171" s="11">
        <v>314180</v>
      </c>
      <c r="B171" s="11" t="s">
        <v>532</v>
      </c>
      <c r="C171" s="8">
        <v>1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19">
        <f t="shared" si="0"/>
        <v>1</v>
      </c>
      <c r="O171" s="24">
        <v>31624</v>
      </c>
      <c r="P171" s="18">
        <f t="shared" si="1"/>
        <v>3.1621553250695671</v>
      </c>
    </row>
    <row r="172" spans="1:16" ht="14.25" customHeight="1">
      <c r="A172" s="11">
        <v>314220</v>
      </c>
      <c r="B172" s="11" t="s">
        <v>533</v>
      </c>
      <c r="C172" s="8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2</v>
      </c>
      <c r="M172" s="9">
        <v>0</v>
      </c>
      <c r="N172" s="19">
        <f t="shared" si="0"/>
        <v>2</v>
      </c>
      <c r="O172" s="24">
        <v>15111</v>
      </c>
      <c r="P172" s="18">
        <f t="shared" si="1"/>
        <v>13.235391436701741</v>
      </c>
    </row>
    <row r="173" spans="1:16" ht="14.25" customHeight="1">
      <c r="A173" s="11">
        <v>314250</v>
      </c>
      <c r="B173" s="11" t="s">
        <v>534</v>
      </c>
      <c r="C173" s="8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2</v>
      </c>
      <c r="N173" s="19">
        <f t="shared" si="0"/>
        <v>2</v>
      </c>
      <c r="O173" s="24">
        <v>2219</v>
      </c>
      <c r="P173" s="18">
        <f t="shared" si="1"/>
        <v>90.130689499774675</v>
      </c>
    </row>
    <row r="174" spans="1:16" ht="14.25" customHeight="1">
      <c r="A174" s="11">
        <v>314260</v>
      </c>
      <c r="B174" s="11" t="s">
        <v>535</v>
      </c>
      <c r="C174" s="8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2</v>
      </c>
      <c r="N174" s="19">
        <f t="shared" si="0"/>
        <v>2</v>
      </c>
      <c r="O174" s="24">
        <v>8730</v>
      </c>
      <c r="P174" s="18">
        <f t="shared" si="1"/>
        <v>22.90950744558992</v>
      </c>
    </row>
    <row r="175" spans="1:16" ht="14.25" customHeight="1">
      <c r="A175" s="11">
        <v>314280</v>
      </c>
      <c r="B175" s="11" t="s">
        <v>536</v>
      </c>
      <c r="C175" s="8">
        <v>0</v>
      </c>
      <c r="D175" s="9">
        <v>0</v>
      </c>
      <c r="E175" s="9">
        <v>3</v>
      </c>
      <c r="F175" s="9">
        <v>2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19">
        <f t="shared" si="0"/>
        <v>5</v>
      </c>
      <c r="O175" s="24">
        <v>21231</v>
      </c>
      <c r="P175" s="18">
        <f t="shared" si="1"/>
        <v>23.550468654326224</v>
      </c>
    </row>
    <row r="176" spans="1:16" ht="14.25" customHeight="1">
      <c r="A176" s="11">
        <v>314300</v>
      </c>
      <c r="B176" s="11" t="s">
        <v>537</v>
      </c>
      <c r="C176" s="8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2</v>
      </c>
      <c r="N176" s="19">
        <f t="shared" si="0"/>
        <v>2</v>
      </c>
      <c r="O176" s="24">
        <v>13155</v>
      </c>
      <c r="P176" s="18">
        <f t="shared" si="1"/>
        <v>15.203344735841885</v>
      </c>
    </row>
    <row r="177" spans="1:16" ht="14.25" customHeight="1">
      <c r="A177" s="11">
        <v>314310</v>
      </c>
      <c r="B177" s="11" t="s">
        <v>538</v>
      </c>
      <c r="C177" s="8">
        <v>2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1</v>
      </c>
      <c r="N177" s="19">
        <f t="shared" si="0"/>
        <v>3</v>
      </c>
      <c r="O177" s="24">
        <v>47931</v>
      </c>
      <c r="P177" s="18">
        <f t="shared" si="1"/>
        <v>6.258997308631157</v>
      </c>
    </row>
    <row r="178" spans="1:16" ht="14.25" customHeight="1">
      <c r="A178" s="11">
        <v>314330</v>
      </c>
      <c r="B178" s="11" t="s">
        <v>539</v>
      </c>
      <c r="C178" s="8">
        <v>6</v>
      </c>
      <c r="D178" s="9">
        <v>0</v>
      </c>
      <c r="E178" s="9">
        <v>2</v>
      </c>
      <c r="F178" s="9">
        <v>7</v>
      </c>
      <c r="G178" s="9">
        <v>12</v>
      </c>
      <c r="H178" s="9">
        <v>0</v>
      </c>
      <c r="I178" s="9">
        <v>0</v>
      </c>
      <c r="J178" s="9">
        <v>0</v>
      </c>
      <c r="K178" s="9">
        <v>0</v>
      </c>
      <c r="L178" s="9">
        <v>4</v>
      </c>
      <c r="M178" s="9">
        <v>22</v>
      </c>
      <c r="N178" s="19">
        <f t="shared" si="0"/>
        <v>53</v>
      </c>
      <c r="O178" s="24">
        <v>413487</v>
      </c>
      <c r="P178" s="18">
        <f t="shared" si="1"/>
        <v>12.817815312210541</v>
      </c>
    </row>
    <row r="179" spans="1:16" ht="14.25" customHeight="1">
      <c r="A179" s="11">
        <v>314340</v>
      </c>
      <c r="B179" s="11" t="s">
        <v>540</v>
      </c>
      <c r="C179" s="8">
        <v>0</v>
      </c>
      <c r="D179" s="9">
        <v>0</v>
      </c>
      <c r="E179" s="9">
        <v>0</v>
      </c>
      <c r="F179" s="9">
        <v>1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2</v>
      </c>
      <c r="M179" s="9">
        <v>0</v>
      </c>
      <c r="N179" s="19">
        <f t="shared" si="0"/>
        <v>3</v>
      </c>
      <c r="O179" s="24">
        <v>23327</v>
      </c>
      <c r="P179" s="18">
        <f t="shared" si="1"/>
        <v>12.86063360054872</v>
      </c>
    </row>
    <row r="180" spans="1:16" ht="14.25" customHeight="1">
      <c r="A180" s="11">
        <v>314360</v>
      </c>
      <c r="B180" s="11" t="s">
        <v>541</v>
      </c>
      <c r="C180" s="8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1</v>
      </c>
      <c r="M180" s="9">
        <v>1</v>
      </c>
      <c r="N180" s="19">
        <f t="shared" si="0"/>
        <v>2</v>
      </c>
      <c r="O180" s="24">
        <v>2413</v>
      </c>
      <c r="P180" s="18">
        <f t="shared" si="1"/>
        <v>82.884376295068378</v>
      </c>
    </row>
    <row r="181" spans="1:16" ht="14.25" customHeight="1">
      <c r="A181" s="11">
        <v>314390</v>
      </c>
      <c r="B181" s="11" t="s">
        <v>542</v>
      </c>
      <c r="C181" s="8">
        <v>0</v>
      </c>
      <c r="D181" s="9">
        <v>1</v>
      </c>
      <c r="E181" s="9">
        <v>0</v>
      </c>
      <c r="F181" s="9">
        <v>1</v>
      </c>
      <c r="G181" s="9">
        <v>12</v>
      </c>
      <c r="H181" s="9">
        <v>0</v>
      </c>
      <c r="I181" s="9">
        <v>0</v>
      </c>
      <c r="J181" s="9">
        <v>0</v>
      </c>
      <c r="K181" s="9">
        <v>0</v>
      </c>
      <c r="L181" s="9">
        <v>1</v>
      </c>
      <c r="M181" s="9">
        <v>7</v>
      </c>
      <c r="N181" s="19">
        <f t="shared" si="0"/>
        <v>22</v>
      </c>
      <c r="O181" s="24">
        <v>109392</v>
      </c>
      <c r="P181" s="18">
        <f t="shared" si="1"/>
        <v>20.111159865438058</v>
      </c>
    </row>
    <row r="182" spans="1:16" ht="14.25" customHeight="1">
      <c r="A182" s="11">
        <v>314400</v>
      </c>
      <c r="B182" s="11" t="s">
        <v>543</v>
      </c>
      <c r="C182" s="8">
        <v>0</v>
      </c>
      <c r="D182" s="9">
        <v>1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3</v>
      </c>
      <c r="N182" s="19">
        <f t="shared" si="0"/>
        <v>4</v>
      </c>
      <c r="O182" s="24">
        <v>26883</v>
      </c>
      <c r="P182" s="18">
        <f t="shared" si="1"/>
        <v>14.879291745712903</v>
      </c>
    </row>
    <row r="183" spans="1:16" ht="14.25" customHeight="1">
      <c r="A183" s="11">
        <v>314410</v>
      </c>
      <c r="B183" s="11" t="s">
        <v>544</v>
      </c>
      <c r="C183" s="8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1</v>
      </c>
      <c r="M183" s="9">
        <v>0</v>
      </c>
      <c r="N183" s="19">
        <f t="shared" si="0"/>
        <v>1</v>
      </c>
      <c r="O183" s="24">
        <v>20916</v>
      </c>
      <c r="P183" s="18">
        <f t="shared" si="1"/>
        <v>4.7810288774144194</v>
      </c>
    </row>
    <row r="184" spans="1:16" ht="14.25" customHeight="1">
      <c r="A184" s="11">
        <v>314430</v>
      </c>
      <c r="B184" s="11" t="s">
        <v>545</v>
      </c>
      <c r="C184" s="8">
        <v>0</v>
      </c>
      <c r="D184" s="9">
        <v>0</v>
      </c>
      <c r="E184" s="9">
        <v>1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19">
        <f t="shared" si="0"/>
        <v>1</v>
      </c>
      <c r="O184" s="24">
        <v>40832</v>
      </c>
      <c r="P184" s="18">
        <f t="shared" si="1"/>
        <v>2.4490595611285264</v>
      </c>
    </row>
    <row r="185" spans="1:16" ht="14.25" customHeight="1">
      <c r="A185" s="11">
        <v>314435</v>
      </c>
      <c r="B185" s="11" t="s">
        <v>546</v>
      </c>
      <c r="C185" s="8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6</v>
      </c>
      <c r="N185" s="19">
        <f t="shared" si="0"/>
        <v>6</v>
      </c>
      <c r="O185" s="24">
        <v>7072</v>
      </c>
      <c r="P185" s="18">
        <f t="shared" si="1"/>
        <v>84.841628959276022</v>
      </c>
    </row>
    <row r="186" spans="1:16" ht="14.25" customHeight="1">
      <c r="A186" s="11">
        <v>314460</v>
      </c>
      <c r="B186" s="11" t="s">
        <v>547</v>
      </c>
      <c r="C186" s="8">
        <v>0</v>
      </c>
      <c r="D186" s="9">
        <v>0</v>
      </c>
      <c r="E186" s="9">
        <v>0</v>
      </c>
      <c r="F186" s="9">
        <v>0</v>
      </c>
      <c r="G186" s="9">
        <v>3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19">
        <f t="shared" si="0"/>
        <v>3</v>
      </c>
      <c r="O186" s="24">
        <v>26837</v>
      </c>
      <c r="P186" s="18">
        <f t="shared" si="1"/>
        <v>11.178596713492567</v>
      </c>
    </row>
    <row r="187" spans="1:16" ht="14.25" customHeight="1">
      <c r="A187" s="11">
        <v>314465</v>
      </c>
      <c r="B187" s="11" t="s">
        <v>548</v>
      </c>
      <c r="C187" s="8">
        <v>0</v>
      </c>
      <c r="D187" s="9">
        <v>0</v>
      </c>
      <c r="E187" s="9">
        <v>0</v>
      </c>
      <c r="F187" s="9">
        <v>1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19">
        <f t="shared" si="0"/>
        <v>1</v>
      </c>
      <c r="O187" s="24">
        <v>10245</v>
      </c>
      <c r="P187" s="18">
        <f t="shared" si="1"/>
        <v>9.7608589555880911</v>
      </c>
    </row>
    <row r="188" spans="1:16" ht="14.25" customHeight="1">
      <c r="A188" s="11">
        <v>314480</v>
      </c>
      <c r="B188" s="11" t="s">
        <v>549</v>
      </c>
      <c r="C188" s="8">
        <v>1</v>
      </c>
      <c r="D188" s="9">
        <v>3</v>
      </c>
      <c r="E188" s="9">
        <v>2</v>
      </c>
      <c r="F188" s="9">
        <v>4</v>
      </c>
      <c r="G188" s="9">
        <v>5</v>
      </c>
      <c r="H188" s="9">
        <v>0</v>
      </c>
      <c r="I188" s="9">
        <v>1</v>
      </c>
      <c r="J188" s="9">
        <v>0</v>
      </c>
      <c r="K188" s="9">
        <v>0</v>
      </c>
      <c r="L188" s="9">
        <v>25</v>
      </c>
      <c r="M188" s="9">
        <v>6</v>
      </c>
      <c r="N188" s="19">
        <f t="shared" si="0"/>
        <v>47</v>
      </c>
      <c r="O188" s="24">
        <v>96102</v>
      </c>
      <c r="P188" s="18">
        <f t="shared" si="1"/>
        <v>48.906370314873776</v>
      </c>
    </row>
    <row r="189" spans="1:16" ht="14.25" customHeight="1">
      <c r="A189" s="11">
        <v>314500</v>
      </c>
      <c r="B189" s="11" t="s">
        <v>550</v>
      </c>
      <c r="C189" s="8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1</v>
      </c>
      <c r="N189" s="19">
        <f t="shared" si="0"/>
        <v>1</v>
      </c>
      <c r="O189" s="24">
        <v>15632</v>
      </c>
      <c r="P189" s="18">
        <f t="shared" si="1"/>
        <v>6.397134083930399</v>
      </c>
    </row>
    <row r="190" spans="1:16" ht="14.25" customHeight="1">
      <c r="A190" s="11">
        <v>314510</v>
      </c>
      <c r="B190" s="11" t="s">
        <v>551</v>
      </c>
      <c r="C190" s="8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2</v>
      </c>
      <c r="M190" s="9">
        <v>1</v>
      </c>
      <c r="N190" s="19">
        <f t="shared" si="0"/>
        <v>3</v>
      </c>
      <c r="O190" s="24">
        <v>16886</v>
      </c>
      <c r="P190" s="18">
        <f t="shared" si="1"/>
        <v>17.766196849461092</v>
      </c>
    </row>
    <row r="191" spans="1:16" ht="14.25" customHeight="1">
      <c r="A191" s="11">
        <v>314520</v>
      </c>
      <c r="B191" s="11" t="s">
        <v>552</v>
      </c>
      <c r="C191" s="8">
        <v>0</v>
      </c>
      <c r="D191" s="9">
        <v>0</v>
      </c>
      <c r="E191" s="9">
        <v>0</v>
      </c>
      <c r="F191" s="9">
        <v>3</v>
      </c>
      <c r="G191" s="9">
        <v>3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</v>
      </c>
      <c r="N191" s="19">
        <f t="shared" si="0"/>
        <v>7</v>
      </c>
      <c r="O191" s="24">
        <v>105520</v>
      </c>
      <c r="P191" s="18">
        <f t="shared" si="1"/>
        <v>6.6338134950720233</v>
      </c>
    </row>
    <row r="192" spans="1:16" ht="14.25" customHeight="1">
      <c r="A192" s="11">
        <v>314535</v>
      </c>
      <c r="B192" s="11" t="s">
        <v>553</v>
      </c>
      <c r="C192" s="8">
        <v>1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19">
        <f t="shared" si="0"/>
        <v>1</v>
      </c>
      <c r="O192" s="24">
        <v>5766</v>
      </c>
      <c r="P192" s="18">
        <f t="shared" si="1"/>
        <v>17.34304543877905</v>
      </c>
    </row>
    <row r="193" spans="1:16" ht="14.25" customHeight="1">
      <c r="A193" s="11">
        <v>314560</v>
      </c>
      <c r="B193" s="11" t="s">
        <v>554</v>
      </c>
      <c r="C193" s="8">
        <v>0</v>
      </c>
      <c r="D193" s="9">
        <v>0</v>
      </c>
      <c r="E193" s="9">
        <v>0</v>
      </c>
      <c r="F193" s="9">
        <v>1</v>
      </c>
      <c r="G193" s="9">
        <v>0</v>
      </c>
      <c r="H193" s="9">
        <v>1</v>
      </c>
      <c r="I193" s="9">
        <v>0</v>
      </c>
      <c r="J193" s="9">
        <v>0</v>
      </c>
      <c r="K193" s="9">
        <v>0</v>
      </c>
      <c r="L193" s="9">
        <v>1</v>
      </c>
      <c r="M193" s="9">
        <v>0</v>
      </c>
      <c r="N193" s="19">
        <f t="shared" si="0"/>
        <v>3</v>
      </c>
      <c r="O193" s="24">
        <v>10421</v>
      </c>
      <c r="P193" s="18">
        <f t="shared" si="1"/>
        <v>28.788024181940312</v>
      </c>
    </row>
    <row r="194" spans="1:16" ht="14.25" customHeight="1">
      <c r="A194" s="11">
        <v>314590</v>
      </c>
      <c r="B194" s="11" t="s">
        <v>555</v>
      </c>
      <c r="C194" s="8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5</v>
      </c>
      <c r="M194" s="9">
        <v>4</v>
      </c>
      <c r="N194" s="19">
        <f t="shared" si="0"/>
        <v>9</v>
      </c>
      <c r="O194" s="24">
        <v>41907</v>
      </c>
      <c r="P194" s="18">
        <f t="shared" si="1"/>
        <v>21.47612570692247</v>
      </c>
    </row>
    <row r="195" spans="1:16" ht="14.25" customHeight="1">
      <c r="A195" s="11">
        <v>314600</v>
      </c>
      <c r="B195" s="11" t="s">
        <v>556</v>
      </c>
      <c r="C195" s="8">
        <v>0</v>
      </c>
      <c r="D195" s="9">
        <v>0</v>
      </c>
      <c r="E195" s="9">
        <v>1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19">
        <f t="shared" si="0"/>
        <v>1</v>
      </c>
      <c r="O195" s="24">
        <v>39816</v>
      </c>
      <c r="P195" s="18">
        <f t="shared" si="1"/>
        <v>2.5115531444645369</v>
      </c>
    </row>
    <row r="196" spans="1:16" ht="14.25" customHeight="1">
      <c r="A196" s="11">
        <v>314610</v>
      </c>
      <c r="B196" s="11" t="s">
        <v>557</v>
      </c>
      <c r="C196" s="8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1</v>
      </c>
      <c r="N196" s="19">
        <f t="shared" si="0"/>
        <v>1</v>
      </c>
      <c r="O196" s="24">
        <v>33732</v>
      </c>
      <c r="P196" s="18">
        <f t="shared" si="1"/>
        <v>2.9645440531246292</v>
      </c>
    </row>
    <row r="197" spans="1:16" ht="14.25" customHeight="1">
      <c r="A197" s="11">
        <v>314650</v>
      </c>
      <c r="B197" s="11" t="s">
        <v>558</v>
      </c>
      <c r="C197" s="8">
        <v>1</v>
      </c>
      <c r="D197" s="9">
        <v>0</v>
      </c>
      <c r="E197" s="9">
        <v>0</v>
      </c>
      <c r="F197" s="9">
        <v>1</v>
      </c>
      <c r="G197" s="9">
        <v>1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3</v>
      </c>
      <c r="N197" s="19">
        <f t="shared" si="0"/>
        <v>6</v>
      </c>
      <c r="O197" s="24">
        <v>74558</v>
      </c>
      <c r="P197" s="18">
        <f t="shared" si="1"/>
        <v>8.0474261648649374</v>
      </c>
    </row>
    <row r="198" spans="1:16" ht="14.25" customHeight="1">
      <c r="A198" s="11">
        <v>314690</v>
      </c>
      <c r="B198" s="11" t="s">
        <v>559</v>
      </c>
      <c r="C198" s="8">
        <v>0</v>
      </c>
      <c r="D198" s="9">
        <v>0</v>
      </c>
      <c r="E198" s="9">
        <v>0</v>
      </c>
      <c r="F198" s="9">
        <v>0</v>
      </c>
      <c r="G198" s="9">
        <v>1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19">
        <f t="shared" si="0"/>
        <v>1</v>
      </c>
      <c r="O198" s="24">
        <v>8279</v>
      </c>
      <c r="P198" s="18">
        <f t="shared" si="1"/>
        <v>12.078753472641623</v>
      </c>
    </row>
    <row r="199" spans="1:16" ht="14.25" customHeight="1">
      <c r="A199" s="11">
        <v>314700</v>
      </c>
      <c r="B199" s="11" t="s">
        <v>560</v>
      </c>
      <c r="C199" s="8">
        <v>1</v>
      </c>
      <c r="D199" s="9">
        <v>0</v>
      </c>
      <c r="E199" s="9">
        <v>1</v>
      </c>
      <c r="F199" s="9">
        <v>1</v>
      </c>
      <c r="G199" s="9">
        <v>1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19">
        <f t="shared" si="0"/>
        <v>4</v>
      </c>
      <c r="O199" s="24">
        <v>15637</v>
      </c>
      <c r="P199" s="18">
        <f t="shared" si="1"/>
        <v>25.580354287906889</v>
      </c>
    </row>
    <row r="200" spans="1:16" ht="14.25" customHeight="1">
      <c r="A200" s="11">
        <v>314710</v>
      </c>
      <c r="B200" s="11" t="s">
        <v>561</v>
      </c>
      <c r="C200" s="8">
        <v>0</v>
      </c>
      <c r="D200" s="9">
        <v>1</v>
      </c>
      <c r="E200" s="9">
        <v>0</v>
      </c>
      <c r="F200" s="9">
        <v>1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8</v>
      </c>
      <c r="M200" s="9">
        <v>1</v>
      </c>
      <c r="N200" s="19">
        <f t="shared" si="0"/>
        <v>11</v>
      </c>
      <c r="O200" s="24">
        <v>94672</v>
      </c>
      <c r="P200" s="18">
        <f t="shared" si="1"/>
        <v>11.619063714720298</v>
      </c>
    </row>
    <row r="201" spans="1:16" ht="14.25" customHeight="1">
      <c r="A201" s="11">
        <v>314730</v>
      </c>
      <c r="B201" s="11" t="s">
        <v>562</v>
      </c>
      <c r="C201" s="8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4</v>
      </c>
      <c r="N201" s="19">
        <f t="shared" si="0"/>
        <v>4</v>
      </c>
      <c r="O201" s="24">
        <v>94808</v>
      </c>
      <c r="P201" s="18">
        <f t="shared" si="1"/>
        <v>4.2190532444519455</v>
      </c>
    </row>
    <row r="202" spans="1:16" ht="14.25" customHeight="1">
      <c r="A202" s="11">
        <v>314760</v>
      </c>
      <c r="B202" s="11" t="s">
        <v>563</v>
      </c>
      <c r="C202" s="8">
        <v>1</v>
      </c>
      <c r="D202" s="9">
        <v>1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1</v>
      </c>
      <c r="N202" s="19">
        <f t="shared" si="0"/>
        <v>3</v>
      </c>
      <c r="O202" s="24">
        <v>21265</v>
      </c>
      <c r="P202" s="18">
        <f t="shared" si="1"/>
        <v>14.107688690336234</v>
      </c>
    </row>
    <row r="203" spans="1:16" ht="14.25" customHeight="1">
      <c r="A203" s="11">
        <v>314790</v>
      </c>
      <c r="B203" s="11" t="s">
        <v>564</v>
      </c>
      <c r="C203" s="8">
        <v>3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4</v>
      </c>
      <c r="M203" s="9">
        <v>0</v>
      </c>
      <c r="N203" s="19">
        <f t="shared" si="0"/>
        <v>7</v>
      </c>
      <c r="O203" s="24">
        <v>16393</v>
      </c>
      <c r="P203" s="18">
        <f t="shared" si="1"/>
        <v>42.701152931129137</v>
      </c>
    </row>
    <row r="204" spans="1:16" ht="14.25" customHeight="1">
      <c r="A204" s="11">
        <v>314800</v>
      </c>
      <c r="B204" s="11" t="s">
        <v>565</v>
      </c>
      <c r="C204" s="8">
        <v>0</v>
      </c>
      <c r="D204" s="9">
        <v>1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1</v>
      </c>
      <c r="L204" s="9">
        <v>1</v>
      </c>
      <c r="M204" s="9">
        <v>1</v>
      </c>
      <c r="N204" s="19">
        <f t="shared" si="0"/>
        <v>4</v>
      </c>
      <c r="O204" s="24">
        <v>115337</v>
      </c>
      <c r="P204" s="18">
        <f t="shared" si="1"/>
        <v>3.4680978350399263</v>
      </c>
    </row>
    <row r="205" spans="1:16" ht="14.25" customHeight="1">
      <c r="A205" s="11">
        <v>314820</v>
      </c>
      <c r="B205" s="11" t="s">
        <v>566</v>
      </c>
      <c r="C205" s="8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1</v>
      </c>
      <c r="N205" s="19">
        <f t="shared" si="0"/>
        <v>1</v>
      </c>
      <c r="O205" s="24">
        <v>153585</v>
      </c>
      <c r="P205" s="18">
        <f t="shared" si="1"/>
        <v>0.65110525116385065</v>
      </c>
    </row>
    <row r="206" spans="1:16" ht="14.25" customHeight="1">
      <c r="A206" s="11">
        <v>314850</v>
      </c>
      <c r="B206" s="11" t="s">
        <v>567</v>
      </c>
      <c r="C206" s="8">
        <v>1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19">
        <f t="shared" si="0"/>
        <v>1</v>
      </c>
      <c r="O206" s="24">
        <v>5670</v>
      </c>
      <c r="P206" s="18">
        <f t="shared" si="1"/>
        <v>17.636684303350972</v>
      </c>
    </row>
    <row r="207" spans="1:16" ht="14.25" customHeight="1">
      <c r="A207" s="11">
        <v>314860</v>
      </c>
      <c r="B207" s="11" t="s">
        <v>568</v>
      </c>
      <c r="C207" s="8">
        <v>0</v>
      </c>
      <c r="D207" s="9">
        <v>0</v>
      </c>
      <c r="E207" s="9">
        <v>0</v>
      </c>
      <c r="F207" s="9">
        <v>0</v>
      </c>
      <c r="G207" s="9">
        <v>2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19">
        <f t="shared" si="0"/>
        <v>2</v>
      </c>
      <c r="O207" s="24">
        <v>8242</v>
      </c>
      <c r="P207" s="18">
        <f t="shared" si="1"/>
        <v>24.265954865323952</v>
      </c>
    </row>
    <row r="208" spans="1:16" ht="14.25" customHeight="1">
      <c r="A208" s="11">
        <v>314870</v>
      </c>
      <c r="B208" s="11" t="s">
        <v>569</v>
      </c>
      <c r="C208" s="8">
        <v>0</v>
      </c>
      <c r="D208" s="9">
        <v>0</v>
      </c>
      <c r="E208" s="9">
        <v>0</v>
      </c>
      <c r="F208" s="9">
        <v>2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19">
        <f t="shared" si="0"/>
        <v>2</v>
      </c>
      <c r="O208" s="24">
        <v>17618</v>
      </c>
      <c r="P208" s="18">
        <f t="shared" si="1"/>
        <v>11.352026336701101</v>
      </c>
    </row>
    <row r="209" spans="1:16" ht="14.25" customHeight="1">
      <c r="A209" s="11">
        <v>314890</v>
      </c>
      <c r="B209" s="11" t="s">
        <v>570</v>
      </c>
      <c r="C209" s="8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1</v>
      </c>
      <c r="M209" s="9">
        <v>0</v>
      </c>
      <c r="N209" s="19">
        <f t="shared" si="0"/>
        <v>1</v>
      </c>
      <c r="O209" s="24">
        <v>24331</v>
      </c>
      <c r="P209" s="18">
        <f t="shared" si="1"/>
        <v>4.1099831490690892</v>
      </c>
    </row>
    <row r="210" spans="1:16" ht="14.25" customHeight="1">
      <c r="A210" s="11">
        <v>314910</v>
      </c>
      <c r="B210" s="11" t="s">
        <v>571</v>
      </c>
      <c r="C210" s="8">
        <v>0</v>
      </c>
      <c r="D210" s="9">
        <v>0</v>
      </c>
      <c r="E210" s="9">
        <v>0</v>
      </c>
      <c r="F210" s="9">
        <v>0</v>
      </c>
      <c r="G210" s="9">
        <v>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19">
        <f t="shared" si="0"/>
        <v>1</v>
      </c>
      <c r="O210" s="24">
        <v>3993</v>
      </c>
      <c r="P210" s="18">
        <f t="shared" si="1"/>
        <v>25.043826696719258</v>
      </c>
    </row>
    <row r="211" spans="1:16" ht="14.25" customHeight="1">
      <c r="A211" s="11">
        <v>314960</v>
      </c>
      <c r="B211" s="11" t="s">
        <v>572</v>
      </c>
      <c r="C211" s="8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3</v>
      </c>
      <c r="M211" s="9">
        <v>1</v>
      </c>
      <c r="N211" s="19">
        <f t="shared" si="0"/>
        <v>4</v>
      </c>
      <c r="O211" s="24">
        <v>11332</v>
      </c>
      <c r="P211" s="18">
        <f t="shared" si="1"/>
        <v>35.298270384751149</v>
      </c>
    </row>
    <row r="212" spans="1:16" ht="14.25" customHeight="1">
      <c r="A212" s="11">
        <v>314990</v>
      </c>
      <c r="B212" s="11" t="s">
        <v>573</v>
      </c>
      <c r="C212" s="8">
        <v>0</v>
      </c>
      <c r="D212" s="9">
        <v>0</v>
      </c>
      <c r="E212" s="9">
        <v>0</v>
      </c>
      <c r="F212" s="9">
        <v>3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1</v>
      </c>
      <c r="N212" s="19">
        <f t="shared" si="0"/>
        <v>4</v>
      </c>
      <c r="O212" s="24">
        <v>4320</v>
      </c>
      <c r="P212" s="18">
        <f t="shared" si="1"/>
        <v>92.592592592592595</v>
      </c>
    </row>
    <row r="213" spans="1:16" ht="14.25" customHeight="1">
      <c r="A213" s="11">
        <v>315015</v>
      </c>
      <c r="B213" s="11" t="s">
        <v>574</v>
      </c>
      <c r="C213" s="8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1</v>
      </c>
      <c r="K213" s="9">
        <v>0</v>
      </c>
      <c r="L213" s="9">
        <v>0</v>
      </c>
      <c r="M213" s="9">
        <v>0</v>
      </c>
      <c r="N213" s="19">
        <f t="shared" si="0"/>
        <v>1</v>
      </c>
      <c r="O213" s="24">
        <v>21492</v>
      </c>
      <c r="P213" s="18">
        <f t="shared" si="1"/>
        <v>4.6528941001302808</v>
      </c>
    </row>
    <row r="214" spans="1:16" ht="14.25" customHeight="1">
      <c r="A214" s="11">
        <v>315040</v>
      </c>
      <c r="B214" s="11" t="s">
        <v>575</v>
      </c>
      <c r="C214" s="8">
        <v>0</v>
      </c>
      <c r="D214" s="9">
        <v>1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19">
        <f t="shared" si="0"/>
        <v>1</v>
      </c>
      <c r="O214" s="24">
        <v>8441</v>
      </c>
      <c r="P214" s="18">
        <f t="shared" si="1"/>
        <v>11.846937566639024</v>
      </c>
    </row>
    <row r="215" spans="1:16" ht="14.25" customHeight="1">
      <c r="A215" s="11">
        <v>315070</v>
      </c>
      <c r="B215" s="11" t="s">
        <v>576</v>
      </c>
      <c r="C215" s="8">
        <v>0</v>
      </c>
      <c r="D215" s="9">
        <v>0</v>
      </c>
      <c r="E215" s="9">
        <v>1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1</v>
      </c>
      <c r="N215" s="19">
        <f t="shared" si="0"/>
        <v>2</v>
      </c>
      <c r="O215" s="24">
        <v>5176</v>
      </c>
      <c r="P215" s="18">
        <f t="shared" si="1"/>
        <v>38.639876352395675</v>
      </c>
    </row>
    <row r="216" spans="1:16" ht="14.25" customHeight="1">
      <c r="A216" s="11">
        <v>315080</v>
      </c>
      <c r="B216" s="11" t="s">
        <v>577</v>
      </c>
      <c r="C216" s="8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1</v>
      </c>
      <c r="M216" s="9">
        <v>1</v>
      </c>
      <c r="N216" s="19">
        <f t="shared" si="0"/>
        <v>2</v>
      </c>
      <c r="O216" s="24">
        <v>6302</v>
      </c>
      <c r="P216" s="18">
        <f t="shared" si="1"/>
        <v>31.735956839098698</v>
      </c>
    </row>
    <row r="217" spans="1:16" ht="14.25" customHeight="1">
      <c r="A217" s="11">
        <v>315100</v>
      </c>
      <c r="B217" s="11" t="s">
        <v>578</v>
      </c>
      <c r="C217" s="8">
        <v>0</v>
      </c>
      <c r="D217" s="9">
        <v>0</v>
      </c>
      <c r="E217" s="9">
        <v>0</v>
      </c>
      <c r="F217" s="9">
        <v>1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8</v>
      </c>
      <c r="M217" s="9">
        <v>2</v>
      </c>
      <c r="N217" s="19">
        <f t="shared" si="0"/>
        <v>11</v>
      </c>
      <c r="O217" s="24">
        <v>13523</v>
      </c>
      <c r="P217" s="18">
        <f t="shared" si="1"/>
        <v>81.342897286105156</v>
      </c>
    </row>
    <row r="218" spans="1:16" ht="14.25" customHeight="1">
      <c r="A218" s="11">
        <v>315120</v>
      </c>
      <c r="B218" s="11" t="s">
        <v>579</v>
      </c>
      <c r="C218" s="8">
        <v>1</v>
      </c>
      <c r="D218" s="9">
        <v>0</v>
      </c>
      <c r="E218" s="9">
        <v>0</v>
      </c>
      <c r="F218" s="9">
        <v>0</v>
      </c>
      <c r="G218" s="9">
        <v>4</v>
      </c>
      <c r="H218" s="9">
        <v>0</v>
      </c>
      <c r="I218" s="9">
        <v>0</v>
      </c>
      <c r="J218" s="9">
        <v>0</v>
      </c>
      <c r="K218" s="9">
        <v>0</v>
      </c>
      <c r="L218" s="9">
        <v>1</v>
      </c>
      <c r="M218" s="9">
        <v>1</v>
      </c>
      <c r="N218" s="19">
        <f t="shared" si="0"/>
        <v>7</v>
      </c>
      <c r="O218" s="24">
        <v>8618</v>
      </c>
      <c r="P218" s="18">
        <f t="shared" si="1"/>
        <v>81.225342306799718</v>
      </c>
    </row>
    <row r="219" spans="1:16" ht="14.25" customHeight="1">
      <c r="A219" s="11">
        <v>315130</v>
      </c>
      <c r="B219" s="11" t="s">
        <v>580</v>
      </c>
      <c r="C219" s="8">
        <v>0</v>
      </c>
      <c r="D219" s="9">
        <v>0</v>
      </c>
      <c r="E219" s="9">
        <v>0</v>
      </c>
      <c r="F219" s="9">
        <v>2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19">
        <f t="shared" si="0"/>
        <v>2</v>
      </c>
      <c r="O219" s="24">
        <v>56640</v>
      </c>
      <c r="P219" s="18">
        <f t="shared" si="1"/>
        <v>3.5310734463276838</v>
      </c>
    </row>
    <row r="220" spans="1:16" ht="14.25" customHeight="1">
      <c r="A220" s="11">
        <v>315140</v>
      </c>
      <c r="B220" s="11" t="s">
        <v>581</v>
      </c>
      <c r="C220" s="8">
        <v>0</v>
      </c>
      <c r="D220" s="9">
        <v>0</v>
      </c>
      <c r="E220" s="9">
        <v>1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19">
        <f t="shared" si="0"/>
        <v>1</v>
      </c>
      <c r="O220" s="24">
        <v>10957</v>
      </c>
      <c r="P220" s="18">
        <f t="shared" si="1"/>
        <v>9.1265857442730667</v>
      </c>
    </row>
    <row r="221" spans="1:16" ht="14.25" customHeight="1">
      <c r="A221" s="11">
        <v>315150</v>
      </c>
      <c r="B221" s="11" t="s">
        <v>582</v>
      </c>
      <c r="C221" s="8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1</v>
      </c>
      <c r="N221" s="19">
        <f t="shared" si="0"/>
        <v>1</v>
      </c>
      <c r="O221" s="24">
        <v>28257</v>
      </c>
      <c r="P221" s="18">
        <f t="shared" si="1"/>
        <v>3.5389461018508692</v>
      </c>
    </row>
    <row r="222" spans="1:16" ht="14.25" customHeight="1">
      <c r="A222" s="11">
        <v>315160</v>
      </c>
      <c r="B222" s="11" t="s">
        <v>583</v>
      </c>
      <c r="C222" s="8">
        <v>0</v>
      </c>
      <c r="D222" s="9">
        <v>0</v>
      </c>
      <c r="E222" s="9">
        <v>0</v>
      </c>
      <c r="F222" s="9">
        <v>2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19">
        <f t="shared" si="0"/>
        <v>2</v>
      </c>
      <c r="O222" s="24">
        <v>34992</v>
      </c>
      <c r="P222" s="18">
        <f t="shared" si="1"/>
        <v>5.7155921353452213</v>
      </c>
    </row>
    <row r="223" spans="1:16" ht="14.25" customHeight="1">
      <c r="A223" s="11">
        <v>315170</v>
      </c>
      <c r="B223" s="11" t="s">
        <v>584</v>
      </c>
      <c r="C223" s="8">
        <v>0</v>
      </c>
      <c r="D223" s="9">
        <v>0</v>
      </c>
      <c r="E223" s="9">
        <v>1</v>
      </c>
      <c r="F223" s="9">
        <v>0</v>
      </c>
      <c r="G223" s="9">
        <v>1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19">
        <f t="shared" si="0"/>
        <v>2</v>
      </c>
      <c r="O223" s="24">
        <v>12394</v>
      </c>
      <c r="P223" s="18">
        <f t="shared" si="1"/>
        <v>16.136840406648378</v>
      </c>
    </row>
    <row r="224" spans="1:16" ht="14.25" customHeight="1">
      <c r="A224" s="11">
        <v>315180</v>
      </c>
      <c r="B224" s="11" t="s">
        <v>585</v>
      </c>
      <c r="C224" s="8">
        <v>0</v>
      </c>
      <c r="D224" s="9">
        <v>0</v>
      </c>
      <c r="E224" s="9">
        <v>0</v>
      </c>
      <c r="F224" s="9">
        <v>1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4</v>
      </c>
      <c r="M224" s="9">
        <v>0</v>
      </c>
      <c r="N224" s="19">
        <f t="shared" si="0"/>
        <v>5</v>
      </c>
      <c r="O224" s="24">
        <v>16291</v>
      </c>
      <c r="P224" s="18">
        <f t="shared" si="1"/>
        <v>30.691793014547912</v>
      </c>
    </row>
    <row r="225" spans="1:16" ht="14.25" customHeight="1">
      <c r="A225" s="11">
        <v>315200</v>
      </c>
      <c r="B225" s="11" t="s">
        <v>586</v>
      </c>
      <c r="C225" s="8">
        <v>1</v>
      </c>
      <c r="D225" s="9">
        <v>0</v>
      </c>
      <c r="E225" s="9">
        <v>0</v>
      </c>
      <c r="F225" s="9">
        <v>0</v>
      </c>
      <c r="G225" s="9">
        <v>1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19">
        <f t="shared" si="0"/>
        <v>2</v>
      </c>
      <c r="O225" s="24">
        <v>168641</v>
      </c>
      <c r="P225" s="18">
        <f t="shared" si="1"/>
        <v>1.1859512218262462</v>
      </c>
    </row>
    <row r="226" spans="1:16" ht="14.25" customHeight="1">
      <c r="A226" s="11">
        <v>315217</v>
      </c>
      <c r="B226" s="11" t="s">
        <v>587</v>
      </c>
      <c r="C226" s="8">
        <v>0</v>
      </c>
      <c r="D226" s="9">
        <v>0</v>
      </c>
      <c r="E226" s="9">
        <v>0</v>
      </c>
      <c r="F226" s="9">
        <v>0</v>
      </c>
      <c r="G226" s="9">
        <v>1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19">
        <f t="shared" si="0"/>
        <v>1</v>
      </c>
      <c r="O226" s="24">
        <v>31859</v>
      </c>
      <c r="P226" s="18">
        <f t="shared" si="1"/>
        <v>3.1388304717662199</v>
      </c>
    </row>
    <row r="227" spans="1:16" ht="14.25" customHeight="1">
      <c r="A227" s="11">
        <v>315220</v>
      </c>
      <c r="B227" s="11" t="s">
        <v>588</v>
      </c>
      <c r="C227" s="8">
        <v>1</v>
      </c>
      <c r="D227" s="9">
        <v>1</v>
      </c>
      <c r="E227" s="9">
        <v>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19">
        <f t="shared" si="0"/>
        <v>3</v>
      </c>
      <c r="O227" s="24">
        <v>11751</v>
      </c>
      <c r="P227" s="18">
        <f t="shared" si="1"/>
        <v>25.529742149604292</v>
      </c>
    </row>
    <row r="228" spans="1:16" ht="14.25" customHeight="1">
      <c r="A228" s="11">
        <v>315240</v>
      </c>
      <c r="B228" s="11" t="s">
        <v>589</v>
      </c>
      <c r="C228" s="8">
        <v>0</v>
      </c>
      <c r="D228" s="9">
        <v>0</v>
      </c>
      <c r="E228" s="9">
        <v>1</v>
      </c>
      <c r="F228" s="9">
        <v>1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19">
        <f t="shared" si="0"/>
        <v>2</v>
      </c>
      <c r="O228" s="24">
        <v>37864</v>
      </c>
      <c r="P228" s="18">
        <f t="shared" si="1"/>
        <v>5.2820621170504962</v>
      </c>
    </row>
    <row r="229" spans="1:16" ht="14.25" customHeight="1">
      <c r="A229" s="11">
        <v>315250</v>
      </c>
      <c r="B229" s="11" t="s">
        <v>590</v>
      </c>
      <c r="C229" s="8">
        <v>0</v>
      </c>
      <c r="D229" s="9">
        <v>0</v>
      </c>
      <c r="E229" s="9">
        <v>1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5</v>
      </c>
      <c r="M229" s="9">
        <v>0</v>
      </c>
      <c r="N229" s="19">
        <f t="shared" si="0"/>
        <v>7</v>
      </c>
      <c r="O229" s="24">
        <v>16357</v>
      </c>
      <c r="P229" s="18">
        <f t="shared" si="1"/>
        <v>42.795133581952676</v>
      </c>
    </row>
    <row r="230" spans="1:16" ht="14.25" customHeight="1">
      <c r="A230" s="11">
        <v>315270</v>
      </c>
      <c r="B230" s="11" t="s">
        <v>591</v>
      </c>
      <c r="C230" s="8">
        <v>1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19">
        <f t="shared" si="0"/>
        <v>1</v>
      </c>
      <c r="O230" s="24">
        <v>152549</v>
      </c>
      <c r="P230" s="18">
        <f t="shared" si="1"/>
        <v>0.65552707654589681</v>
      </c>
    </row>
    <row r="231" spans="1:16" ht="14.25" customHeight="1">
      <c r="A231" s="11">
        <v>315280</v>
      </c>
      <c r="B231" s="11" t="s">
        <v>592</v>
      </c>
      <c r="C231" s="8">
        <v>1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19">
        <f t="shared" si="0"/>
        <v>1</v>
      </c>
      <c r="O231" s="24">
        <v>9103</v>
      </c>
      <c r="P231" s="18">
        <f t="shared" si="1"/>
        <v>10.985389432055367</v>
      </c>
    </row>
    <row r="232" spans="1:16" ht="14.25" customHeight="1">
      <c r="A232" s="11">
        <v>315320</v>
      </c>
      <c r="B232" s="11" t="s">
        <v>593</v>
      </c>
      <c r="C232" s="8">
        <v>2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19">
        <f t="shared" si="0"/>
        <v>2</v>
      </c>
      <c r="O232" s="24">
        <v>28164</v>
      </c>
      <c r="P232" s="18">
        <f t="shared" si="1"/>
        <v>7.1012640249964498</v>
      </c>
    </row>
    <row r="233" spans="1:16" ht="14.25" customHeight="1">
      <c r="A233" s="11">
        <v>315340</v>
      </c>
      <c r="B233" s="11" t="s">
        <v>594</v>
      </c>
      <c r="C233" s="8">
        <v>0</v>
      </c>
      <c r="D233" s="9">
        <v>1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19">
        <f t="shared" si="0"/>
        <v>1</v>
      </c>
      <c r="O233" s="24">
        <v>3655</v>
      </c>
      <c r="P233" s="18">
        <f t="shared" si="1"/>
        <v>27.359781121751027</v>
      </c>
    </row>
    <row r="234" spans="1:16" ht="14.25" customHeight="1">
      <c r="A234" s="11">
        <v>315350</v>
      </c>
      <c r="B234" s="11" t="s">
        <v>595</v>
      </c>
      <c r="C234" s="8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1</v>
      </c>
      <c r="N234" s="19">
        <f t="shared" si="0"/>
        <v>1</v>
      </c>
      <c r="O234" s="24">
        <v>19605</v>
      </c>
      <c r="P234" s="18">
        <f t="shared" si="1"/>
        <v>5.1007396072430504</v>
      </c>
    </row>
    <row r="235" spans="1:16" ht="14.25" customHeight="1">
      <c r="A235" s="11">
        <v>315400</v>
      </c>
      <c r="B235" s="11" t="s">
        <v>596</v>
      </c>
      <c r="C235" s="8">
        <v>2</v>
      </c>
      <c r="D235" s="9">
        <v>0</v>
      </c>
      <c r="E235" s="9">
        <v>1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19">
        <f t="shared" si="0"/>
        <v>3</v>
      </c>
      <c r="O235" s="24">
        <v>23639</v>
      </c>
      <c r="P235" s="18">
        <f t="shared" si="1"/>
        <v>12.690892169719531</v>
      </c>
    </row>
    <row r="236" spans="1:16" ht="14.25" customHeight="1">
      <c r="A236" s="11">
        <v>315410</v>
      </c>
      <c r="B236" s="11" t="s">
        <v>597</v>
      </c>
      <c r="C236" s="8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1</v>
      </c>
      <c r="M236" s="9">
        <v>0</v>
      </c>
      <c r="N236" s="19">
        <f t="shared" si="0"/>
        <v>1</v>
      </c>
      <c r="O236" s="24">
        <v>10519</v>
      </c>
      <c r="P236" s="18">
        <f t="shared" si="1"/>
        <v>9.5066070919288901</v>
      </c>
    </row>
    <row r="237" spans="1:16" ht="14.25" customHeight="1">
      <c r="A237" s="11">
        <v>315460</v>
      </c>
      <c r="B237" s="11" t="s">
        <v>598</v>
      </c>
      <c r="C237" s="8">
        <v>0</v>
      </c>
      <c r="D237" s="9">
        <v>1</v>
      </c>
      <c r="E237" s="9">
        <v>0</v>
      </c>
      <c r="F237" s="9">
        <v>1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3</v>
      </c>
      <c r="M237" s="9">
        <v>1</v>
      </c>
      <c r="N237" s="19">
        <f t="shared" si="0"/>
        <v>6</v>
      </c>
      <c r="O237" s="24">
        <v>338197</v>
      </c>
      <c r="P237" s="18">
        <f t="shared" si="1"/>
        <v>1.7741139040263516</v>
      </c>
    </row>
    <row r="238" spans="1:16" ht="14.25" customHeight="1">
      <c r="A238" s="11">
        <v>315480</v>
      </c>
      <c r="B238" s="11" t="s">
        <v>599</v>
      </c>
      <c r="C238" s="8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1</v>
      </c>
      <c r="M238" s="9">
        <v>0</v>
      </c>
      <c r="N238" s="19">
        <f t="shared" si="0"/>
        <v>1</v>
      </c>
      <c r="O238" s="24">
        <v>10370</v>
      </c>
      <c r="P238" s="18">
        <f t="shared" si="1"/>
        <v>9.643201542912248</v>
      </c>
    </row>
    <row r="239" spans="1:16" ht="14.25" customHeight="1">
      <c r="A239" s="11">
        <v>315530</v>
      </c>
      <c r="B239" s="11" t="s">
        <v>600</v>
      </c>
      <c r="C239" s="8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1</v>
      </c>
      <c r="N239" s="19">
        <f t="shared" si="0"/>
        <v>1</v>
      </c>
      <c r="O239" s="24">
        <v>5869</v>
      </c>
      <c r="P239" s="18">
        <f t="shared" si="1"/>
        <v>17.03867779860283</v>
      </c>
    </row>
    <row r="240" spans="1:16" ht="14.25" customHeight="1">
      <c r="A240" s="11">
        <v>315540</v>
      </c>
      <c r="B240" s="11" t="s">
        <v>601</v>
      </c>
      <c r="C240" s="8">
        <v>0</v>
      </c>
      <c r="D240" s="9">
        <v>3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19">
        <f t="shared" si="0"/>
        <v>3</v>
      </c>
      <c r="O240" s="24">
        <v>8681</v>
      </c>
      <c r="P240" s="18">
        <f t="shared" si="1"/>
        <v>34.558230618592326</v>
      </c>
    </row>
    <row r="241" spans="1:16" ht="14.25" customHeight="1">
      <c r="A241" s="11">
        <v>315550</v>
      </c>
      <c r="B241" s="11" t="s">
        <v>602</v>
      </c>
      <c r="C241" s="8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1</v>
      </c>
      <c r="M241" s="9">
        <v>0</v>
      </c>
      <c r="N241" s="19">
        <f t="shared" si="0"/>
        <v>1</v>
      </c>
      <c r="O241" s="24">
        <v>11890</v>
      </c>
      <c r="P241" s="18">
        <f t="shared" si="1"/>
        <v>8.4104289318755256</v>
      </c>
    </row>
    <row r="242" spans="1:16" ht="14.25" customHeight="1">
      <c r="A242" s="11">
        <v>315570</v>
      </c>
      <c r="B242" s="11" t="s">
        <v>603</v>
      </c>
      <c r="C242" s="8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1</v>
      </c>
      <c r="M242" s="9">
        <v>0</v>
      </c>
      <c r="N242" s="19">
        <f t="shared" si="0"/>
        <v>1</v>
      </c>
      <c r="O242" s="24">
        <v>14333</v>
      </c>
      <c r="P242" s="18">
        <f t="shared" si="1"/>
        <v>6.976906439684643</v>
      </c>
    </row>
    <row r="243" spans="1:16" ht="14.25" customHeight="1">
      <c r="A243" s="11">
        <v>315650</v>
      </c>
      <c r="B243" s="11" t="s">
        <v>604</v>
      </c>
      <c r="C243" s="8">
        <v>1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19">
        <f t="shared" si="0"/>
        <v>1</v>
      </c>
      <c r="O243" s="24">
        <v>5719</v>
      </c>
      <c r="P243" s="18">
        <f t="shared" si="1"/>
        <v>17.485574401119077</v>
      </c>
    </row>
    <row r="244" spans="1:16" ht="14.25" customHeight="1">
      <c r="A244" s="11">
        <v>315670</v>
      </c>
      <c r="B244" s="11" t="s">
        <v>605</v>
      </c>
      <c r="C244" s="8">
        <v>0</v>
      </c>
      <c r="D244" s="9">
        <v>0</v>
      </c>
      <c r="E244" s="9">
        <v>2</v>
      </c>
      <c r="F244" s="9">
        <v>3</v>
      </c>
      <c r="G244" s="9">
        <v>0</v>
      </c>
      <c r="H244" s="9">
        <v>0</v>
      </c>
      <c r="I244" s="9">
        <v>2</v>
      </c>
      <c r="J244" s="9">
        <v>0</v>
      </c>
      <c r="K244" s="9">
        <v>0</v>
      </c>
      <c r="L244" s="9">
        <v>3</v>
      </c>
      <c r="M244" s="9">
        <v>2</v>
      </c>
      <c r="N244" s="19">
        <f t="shared" si="0"/>
        <v>12</v>
      </c>
      <c r="O244" s="24">
        <v>137125</v>
      </c>
      <c r="P244" s="18">
        <f t="shared" si="1"/>
        <v>8.7511394712853239</v>
      </c>
    </row>
    <row r="245" spans="1:16" ht="14.25" customHeight="1">
      <c r="A245" s="11">
        <v>315680</v>
      </c>
      <c r="B245" s="11" t="s">
        <v>606</v>
      </c>
      <c r="C245" s="8">
        <v>0</v>
      </c>
      <c r="D245" s="9">
        <v>1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5</v>
      </c>
      <c r="M245" s="9">
        <v>0</v>
      </c>
      <c r="N245" s="19">
        <f t="shared" si="0"/>
        <v>6</v>
      </c>
      <c r="O245" s="24">
        <v>15341</v>
      </c>
      <c r="P245" s="18">
        <f t="shared" si="1"/>
        <v>39.110879342937224</v>
      </c>
    </row>
    <row r="246" spans="1:16" ht="14.25" customHeight="1">
      <c r="A246" s="11">
        <v>315690</v>
      </c>
      <c r="B246" s="11" t="s">
        <v>607</v>
      </c>
      <c r="C246" s="8">
        <v>0</v>
      </c>
      <c r="D246" s="9">
        <v>0</v>
      </c>
      <c r="E246" s="9">
        <v>0</v>
      </c>
      <c r="F246" s="9">
        <v>2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19">
        <f t="shared" si="0"/>
        <v>2</v>
      </c>
      <c r="O246" s="24">
        <v>26334</v>
      </c>
      <c r="P246" s="18">
        <f t="shared" si="1"/>
        <v>7.5947444368497008</v>
      </c>
    </row>
    <row r="247" spans="1:16" ht="14.25" customHeight="1">
      <c r="A247" s="11">
        <v>315720</v>
      </c>
      <c r="B247" s="11" t="s">
        <v>608</v>
      </c>
      <c r="C247" s="8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2</v>
      </c>
      <c r="M247" s="9">
        <v>1</v>
      </c>
      <c r="N247" s="19">
        <f t="shared" si="0"/>
        <v>3</v>
      </c>
      <c r="O247" s="24">
        <v>31433</v>
      </c>
      <c r="P247" s="18">
        <f t="shared" si="1"/>
        <v>9.5441096936340788</v>
      </c>
    </row>
    <row r="248" spans="1:16" ht="14.25" customHeight="1">
      <c r="A248" s="11">
        <v>315725</v>
      </c>
      <c r="B248" s="11" t="s">
        <v>609</v>
      </c>
      <c r="C248" s="8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1</v>
      </c>
      <c r="K248" s="9">
        <v>0</v>
      </c>
      <c r="L248" s="9">
        <v>0</v>
      </c>
      <c r="M248" s="9">
        <v>0</v>
      </c>
      <c r="N248" s="19">
        <f t="shared" si="0"/>
        <v>1</v>
      </c>
      <c r="O248" s="24">
        <v>8164</v>
      </c>
      <c r="P248" s="18">
        <f t="shared" si="1"/>
        <v>12.24889759921607</v>
      </c>
    </row>
    <row r="249" spans="1:16" ht="14.25" customHeight="1">
      <c r="A249" s="11">
        <v>315770</v>
      </c>
      <c r="B249" s="11" t="s">
        <v>610</v>
      </c>
      <c r="C249" s="8">
        <v>0</v>
      </c>
      <c r="D249" s="9">
        <v>0</v>
      </c>
      <c r="E249" s="9">
        <v>0</v>
      </c>
      <c r="F249" s="9">
        <v>1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19">
        <f t="shared" si="0"/>
        <v>1</v>
      </c>
      <c r="O249" s="24">
        <v>14156</v>
      </c>
      <c r="P249" s="18">
        <f t="shared" si="1"/>
        <v>7.0641424131110488</v>
      </c>
    </row>
    <row r="250" spans="1:16" ht="14.25" customHeight="1">
      <c r="A250" s="11">
        <v>315780</v>
      </c>
      <c r="B250" s="11" t="s">
        <v>611</v>
      </c>
      <c r="C250" s="8">
        <v>0</v>
      </c>
      <c r="D250" s="9">
        <v>0</v>
      </c>
      <c r="E250" s="9">
        <v>0</v>
      </c>
      <c r="F250" s="9">
        <v>1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1</v>
      </c>
      <c r="M250" s="9">
        <v>0</v>
      </c>
      <c r="N250" s="19">
        <f t="shared" si="0"/>
        <v>2</v>
      </c>
      <c r="O250" s="24">
        <v>220444</v>
      </c>
      <c r="P250" s="18">
        <f t="shared" si="1"/>
        <v>0.9072598936691405</v>
      </c>
    </row>
    <row r="251" spans="1:16" ht="14.25" customHeight="1">
      <c r="A251" s="11">
        <v>315830</v>
      </c>
      <c r="B251" s="11" t="s">
        <v>612</v>
      </c>
      <c r="C251" s="8">
        <v>0</v>
      </c>
      <c r="D251" s="9">
        <v>0</v>
      </c>
      <c r="E251" s="9">
        <v>0</v>
      </c>
      <c r="F251" s="9">
        <v>0</v>
      </c>
      <c r="G251" s="9">
        <v>3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19">
        <f t="shared" si="0"/>
        <v>3</v>
      </c>
      <c r="O251" s="24">
        <v>7152</v>
      </c>
      <c r="P251" s="18">
        <f t="shared" si="1"/>
        <v>41.946308724832214</v>
      </c>
    </row>
    <row r="252" spans="1:16" ht="14.25" customHeight="1">
      <c r="A252" s="11">
        <v>315895</v>
      </c>
      <c r="B252" s="11" t="s">
        <v>613</v>
      </c>
      <c r="C252" s="8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2</v>
      </c>
      <c r="M252" s="9">
        <v>3</v>
      </c>
      <c r="N252" s="19">
        <f t="shared" si="0"/>
        <v>5</v>
      </c>
      <c r="O252" s="24">
        <v>35369</v>
      </c>
      <c r="P252" s="18">
        <f t="shared" si="1"/>
        <v>14.136673358025389</v>
      </c>
    </row>
    <row r="253" spans="1:16" ht="14.25" customHeight="1">
      <c r="A253" s="11">
        <v>315930</v>
      </c>
      <c r="B253" s="11" t="s">
        <v>614</v>
      </c>
      <c r="C253" s="8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2</v>
      </c>
      <c r="N253" s="19">
        <f t="shared" si="0"/>
        <v>2</v>
      </c>
      <c r="O253" s="24">
        <v>4977</v>
      </c>
      <c r="P253" s="18">
        <f t="shared" si="1"/>
        <v>40.184850311432591</v>
      </c>
    </row>
    <row r="254" spans="1:16" ht="14.25" customHeight="1">
      <c r="A254" s="11">
        <v>315935</v>
      </c>
      <c r="B254" s="11" t="s">
        <v>615</v>
      </c>
      <c r="C254" s="8">
        <v>0</v>
      </c>
      <c r="D254" s="9">
        <v>0</v>
      </c>
      <c r="E254" s="9">
        <v>1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19">
        <f t="shared" si="0"/>
        <v>1</v>
      </c>
      <c r="O254" s="24">
        <v>7319</v>
      </c>
      <c r="P254" s="18">
        <f t="shared" si="1"/>
        <v>13.663068725235687</v>
      </c>
    </row>
    <row r="255" spans="1:16" ht="14.25" customHeight="1">
      <c r="A255" s="11">
        <v>315960</v>
      </c>
      <c r="B255" s="11" t="s">
        <v>616</v>
      </c>
      <c r="C255" s="8">
        <v>0</v>
      </c>
      <c r="D255" s="9">
        <v>0</v>
      </c>
      <c r="E255" s="9">
        <v>0</v>
      </c>
      <c r="F255" s="9">
        <v>0</v>
      </c>
      <c r="G255" s="9">
        <v>1</v>
      </c>
      <c r="H255" s="9">
        <v>0</v>
      </c>
      <c r="I255" s="9">
        <v>0</v>
      </c>
      <c r="J255" s="9">
        <v>0</v>
      </c>
      <c r="K255" s="9">
        <v>0</v>
      </c>
      <c r="L255" s="9">
        <v>5</v>
      </c>
      <c r="M255" s="9">
        <v>0</v>
      </c>
      <c r="N255" s="19">
        <f t="shared" si="0"/>
        <v>6</v>
      </c>
      <c r="O255" s="24">
        <v>43753</v>
      </c>
      <c r="P255" s="18">
        <f t="shared" si="1"/>
        <v>13.713345370603159</v>
      </c>
    </row>
    <row r="256" spans="1:16" ht="14.25" customHeight="1">
      <c r="A256" s="11">
        <v>315980</v>
      </c>
      <c r="B256" s="11" t="s">
        <v>617</v>
      </c>
      <c r="C256" s="8">
        <v>0</v>
      </c>
      <c r="D256" s="9">
        <v>0</v>
      </c>
      <c r="E256" s="9">
        <v>0</v>
      </c>
      <c r="F256" s="9">
        <v>0</v>
      </c>
      <c r="G256" s="9">
        <v>4</v>
      </c>
      <c r="H256" s="9">
        <v>5</v>
      </c>
      <c r="I256" s="9">
        <v>0</v>
      </c>
      <c r="J256" s="9">
        <v>0</v>
      </c>
      <c r="K256" s="9">
        <v>0</v>
      </c>
      <c r="L256" s="9">
        <v>1</v>
      </c>
      <c r="M256" s="9">
        <v>1</v>
      </c>
      <c r="N256" s="19">
        <f t="shared" si="0"/>
        <v>11</v>
      </c>
      <c r="O256" s="24">
        <v>19884</v>
      </c>
      <c r="P256" s="18">
        <f t="shared" si="1"/>
        <v>55.32086099376383</v>
      </c>
    </row>
    <row r="257" spans="1:16" ht="14.25" customHeight="1">
      <c r="A257" s="11">
        <v>315990</v>
      </c>
      <c r="B257" s="11" t="s">
        <v>618</v>
      </c>
      <c r="C257" s="8">
        <v>1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19">
        <f t="shared" si="0"/>
        <v>1</v>
      </c>
      <c r="O257" s="24">
        <v>18601</v>
      </c>
      <c r="P257" s="18">
        <f t="shared" si="1"/>
        <v>5.3760550508037204</v>
      </c>
    </row>
    <row r="258" spans="1:16" ht="14.25" customHeight="1">
      <c r="A258" s="11">
        <v>316000</v>
      </c>
      <c r="B258" s="11" t="s">
        <v>619</v>
      </c>
      <c r="C258" s="8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</v>
      </c>
      <c r="N258" s="19">
        <f t="shared" si="0"/>
        <v>1</v>
      </c>
      <c r="O258" s="24">
        <v>3656</v>
      </c>
      <c r="P258" s="18">
        <f t="shared" si="1"/>
        <v>27.352297592997811</v>
      </c>
    </row>
    <row r="259" spans="1:16" ht="14.25" customHeight="1">
      <c r="A259" s="11">
        <v>316060</v>
      </c>
      <c r="B259" s="11" t="s">
        <v>620</v>
      </c>
      <c r="C259" s="8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</v>
      </c>
      <c r="N259" s="19">
        <f t="shared" si="0"/>
        <v>1</v>
      </c>
      <c r="O259" s="24">
        <v>3033</v>
      </c>
      <c r="P259" s="18">
        <f t="shared" si="1"/>
        <v>32.970656116056709</v>
      </c>
    </row>
    <row r="260" spans="1:16" ht="14.25" customHeight="1">
      <c r="A260" s="11">
        <v>316090</v>
      </c>
      <c r="B260" s="11" t="s">
        <v>621</v>
      </c>
      <c r="C260" s="8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1</v>
      </c>
      <c r="M260" s="9">
        <v>0</v>
      </c>
      <c r="N260" s="19">
        <f t="shared" si="0"/>
        <v>1</v>
      </c>
      <c r="O260" s="24">
        <v>3737</v>
      </c>
      <c r="P260" s="18">
        <f t="shared" si="1"/>
        <v>26.75943270002676</v>
      </c>
    </row>
    <row r="261" spans="1:16" ht="14.25" customHeight="1">
      <c r="A261" s="11">
        <v>316130</v>
      </c>
      <c r="B261" s="11" t="s">
        <v>622</v>
      </c>
      <c r="C261" s="8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2</v>
      </c>
      <c r="M261" s="9">
        <v>0</v>
      </c>
      <c r="N261" s="19">
        <f t="shared" si="0"/>
        <v>2</v>
      </c>
      <c r="O261" s="24">
        <v>6302</v>
      </c>
      <c r="P261" s="18">
        <f t="shared" si="1"/>
        <v>31.735956839098698</v>
      </c>
    </row>
    <row r="262" spans="1:16" ht="14.25" customHeight="1">
      <c r="A262" s="11">
        <v>316170</v>
      </c>
      <c r="B262" s="11" t="s">
        <v>623</v>
      </c>
      <c r="C262" s="8">
        <v>2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19">
        <f t="shared" si="0"/>
        <v>2</v>
      </c>
      <c r="O262" s="24">
        <v>8358</v>
      </c>
      <c r="P262" s="18">
        <f t="shared" si="1"/>
        <v>23.929169657812874</v>
      </c>
    </row>
    <row r="263" spans="1:16" ht="14.25" customHeight="1">
      <c r="A263" s="11">
        <v>316180</v>
      </c>
      <c r="B263" s="11" t="s">
        <v>624</v>
      </c>
      <c r="C263" s="8">
        <v>0</v>
      </c>
      <c r="D263" s="9">
        <v>1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19">
        <f t="shared" si="0"/>
        <v>1</v>
      </c>
      <c r="O263" s="24">
        <v>12428</v>
      </c>
      <c r="P263" s="18">
        <f t="shared" si="1"/>
        <v>8.04634695848085</v>
      </c>
    </row>
    <row r="264" spans="1:16" ht="14.25" customHeight="1">
      <c r="A264" s="11">
        <v>316200</v>
      </c>
      <c r="B264" s="11" t="s">
        <v>625</v>
      </c>
      <c r="C264" s="8">
        <v>1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19">
        <f t="shared" si="0"/>
        <v>1</v>
      </c>
      <c r="O264" s="24">
        <v>25433</v>
      </c>
      <c r="P264" s="18">
        <f t="shared" si="1"/>
        <v>3.9318995006487634</v>
      </c>
    </row>
    <row r="265" spans="1:16" ht="14.25" customHeight="1">
      <c r="A265" s="11">
        <v>316210</v>
      </c>
      <c r="B265" s="11" t="s">
        <v>626</v>
      </c>
      <c r="C265" s="8">
        <v>1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1</v>
      </c>
      <c r="M265" s="9">
        <v>0</v>
      </c>
      <c r="N265" s="19">
        <f t="shared" si="0"/>
        <v>2</v>
      </c>
      <c r="O265" s="24">
        <v>35782</v>
      </c>
      <c r="P265" s="18">
        <f t="shared" si="1"/>
        <v>5.5894024928735115</v>
      </c>
    </row>
    <row r="266" spans="1:16" ht="14.25" customHeight="1">
      <c r="A266" s="11">
        <v>316220</v>
      </c>
      <c r="B266" s="11" t="s">
        <v>627</v>
      </c>
      <c r="C266" s="8">
        <v>0</v>
      </c>
      <c r="D266" s="9">
        <v>1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19">
        <f t="shared" si="0"/>
        <v>1</v>
      </c>
      <c r="O266" s="24">
        <v>7540</v>
      </c>
      <c r="P266" s="18">
        <f t="shared" si="1"/>
        <v>13.262599469496021</v>
      </c>
    </row>
    <row r="267" spans="1:16" ht="14.25" customHeight="1">
      <c r="A267" s="11">
        <v>316230</v>
      </c>
      <c r="B267" s="11" t="s">
        <v>628</v>
      </c>
      <c r="C267" s="8">
        <v>1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19">
        <f t="shared" si="0"/>
        <v>1</v>
      </c>
      <c r="O267" s="24">
        <v>2338</v>
      </c>
      <c r="P267" s="18">
        <f t="shared" si="1"/>
        <v>42.771599657827203</v>
      </c>
    </row>
    <row r="268" spans="1:16" ht="14.25" customHeight="1">
      <c r="A268" s="11">
        <v>316250</v>
      </c>
      <c r="B268" s="11" t="s">
        <v>629</v>
      </c>
      <c r="C268" s="8">
        <v>1</v>
      </c>
      <c r="D268" s="9">
        <v>0</v>
      </c>
      <c r="E268" s="9">
        <v>1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2</v>
      </c>
      <c r="N268" s="19">
        <f t="shared" si="0"/>
        <v>4</v>
      </c>
      <c r="O268" s="24">
        <v>90497</v>
      </c>
      <c r="P268" s="18">
        <f t="shared" si="1"/>
        <v>4.4200360232935898</v>
      </c>
    </row>
    <row r="269" spans="1:16" ht="14.25" customHeight="1">
      <c r="A269" s="11">
        <v>316292</v>
      </c>
      <c r="B269" s="11" t="s">
        <v>630</v>
      </c>
      <c r="C269" s="8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2</v>
      </c>
      <c r="M269" s="9">
        <v>0</v>
      </c>
      <c r="N269" s="19">
        <f t="shared" si="0"/>
        <v>2</v>
      </c>
      <c r="O269" s="24">
        <v>32228</v>
      </c>
      <c r="P269" s="18">
        <f t="shared" si="1"/>
        <v>6.2057837904927391</v>
      </c>
    </row>
    <row r="270" spans="1:16" ht="14.25" customHeight="1">
      <c r="A270" s="11">
        <v>316294</v>
      </c>
      <c r="B270" s="11" t="s">
        <v>631</v>
      </c>
      <c r="C270" s="8">
        <v>1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19">
        <f t="shared" si="0"/>
        <v>1</v>
      </c>
      <c r="O270" s="24">
        <v>7557</v>
      </c>
      <c r="P270" s="18">
        <f t="shared" si="1"/>
        <v>13.232764324467382</v>
      </c>
    </row>
    <row r="271" spans="1:16" ht="14.25" customHeight="1">
      <c r="A271" s="11">
        <v>316295</v>
      </c>
      <c r="B271" s="11" t="s">
        <v>632</v>
      </c>
      <c r="C271" s="8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1</v>
      </c>
      <c r="M271" s="9">
        <v>0</v>
      </c>
      <c r="N271" s="19">
        <f t="shared" si="0"/>
        <v>1</v>
      </c>
      <c r="O271" s="24">
        <v>24316</v>
      </c>
      <c r="P271" s="18">
        <f t="shared" si="1"/>
        <v>4.1125185063332781</v>
      </c>
    </row>
    <row r="272" spans="1:16" ht="14.25" customHeight="1">
      <c r="A272" s="11">
        <v>316320</v>
      </c>
      <c r="B272" s="11" t="s">
        <v>633</v>
      </c>
      <c r="C272" s="8">
        <v>1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8</v>
      </c>
      <c r="M272" s="9">
        <v>0</v>
      </c>
      <c r="N272" s="19">
        <f t="shared" si="0"/>
        <v>9</v>
      </c>
      <c r="O272" s="24">
        <v>4195</v>
      </c>
      <c r="P272" s="18">
        <f t="shared" si="1"/>
        <v>214.54112038140644</v>
      </c>
    </row>
    <row r="273" spans="1:16" ht="14.25" customHeight="1">
      <c r="A273" s="11">
        <v>316370</v>
      </c>
      <c r="B273" s="11" t="s">
        <v>634</v>
      </c>
      <c r="C273" s="8">
        <v>6</v>
      </c>
      <c r="D273" s="9">
        <v>0</v>
      </c>
      <c r="E273" s="9">
        <v>1</v>
      </c>
      <c r="F273" s="9">
        <v>2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7</v>
      </c>
      <c r="M273" s="9">
        <v>3</v>
      </c>
      <c r="N273" s="19">
        <f t="shared" si="0"/>
        <v>19</v>
      </c>
      <c r="O273" s="24">
        <v>46202</v>
      </c>
      <c r="P273" s="18">
        <f t="shared" si="1"/>
        <v>41.123760876152545</v>
      </c>
    </row>
    <row r="274" spans="1:16" ht="14.25" customHeight="1">
      <c r="A274" s="11">
        <v>316390</v>
      </c>
      <c r="B274" s="11" t="s">
        <v>635</v>
      </c>
      <c r="C274" s="8">
        <v>0</v>
      </c>
      <c r="D274" s="9">
        <v>0</v>
      </c>
      <c r="E274" s="9">
        <v>1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19">
        <f t="shared" si="0"/>
        <v>1</v>
      </c>
      <c r="O274" s="24">
        <v>5060</v>
      </c>
      <c r="P274" s="18">
        <f t="shared" si="1"/>
        <v>19.762845849802371</v>
      </c>
    </row>
    <row r="275" spans="1:16" ht="14.25" customHeight="1">
      <c r="A275" s="11">
        <v>316443</v>
      </c>
      <c r="B275" s="11" t="s">
        <v>636</v>
      </c>
      <c r="C275" s="8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5</v>
      </c>
      <c r="M275" s="9">
        <v>2</v>
      </c>
      <c r="N275" s="19">
        <f t="shared" si="0"/>
        <v>7</v>
      </c>
      <c r="O275" s="24">
        <v>3033</v>
      </c>
      <c r="P275" s="18">
        <f t="shared" si="1"/>
        <v>230.79459281239696</v>
      </c>
    </row>
    <row r="276" spans="1:16" ht="14.25" customHeight="1">
      <c r="A276" s="11">
        <v>316460</v>
      </c>
      <c r="B276" s="11" t="s">
        <v>637</v>
      </c>
      <c r="C276" s="8">
        <v>0</v>
      </c>
      <c r="D276" s="9">
        <v>0</v>
      </c>
      <c r="E276" s="9">
        <v>0</v>
      </c>
      <c r="F276" s="9">
        <v>0</v>
      </c>
      <c r="G276" s="9">
        <v>0</v>
      </c>
      <c r="H276" s="9">
        <v>1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19">
        <f t="shared" si="0"/>
        <v>1</v>
      </c>
      <c r="O276" s="24">
        <v>6915</v>
      </c>
      <c r="P276" s="18">
        <f t="shared" si="1"/>
        <v>14.461315979754158</v>
      </c>
    </row>
    <row r="277" spans="1:16" ht="14.25" customHeight="1">
      <c r="A277" s="11">
        <v>316470</v>
      </c>
      <c r="B277" s="11" t="s">
        <v>638</v>
      </c>
      <c r="C277" s="8">
        <v>3</v>
      </c>
      <c r="D277" s="9">
        <v>1</v>
      </c>
      <c r="E277" s="9">
        <v>2</v>
      </c>
      <c r="F277" s="9">
        <v>1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3</v>
      </c>
      <c r="M277" s="9">
        <v>5</v>
      </c>
      <c r="N277" s="19">
        <f t="shared" si="0"/>
        <v>15</v>
      </c>
      <c r="O277" s="24">
        <v>71445</v>
      </c>
      <c r="P277" s="18">
        <f t="shared" si="1"/>
        <v>20.995171110644552</v>
      </c>
    </row>
    <row r="278" spans="1:16" ht="14.25" customHeight="1">
      <c r="A278" s="11">
        <v>316490</v>
      </c>
      <c r="B278" s="11" t="s">
        <v>639</v>
      </c>
      <c r="C278" s="8">
        <v>0</v>
      </c>
      <c r="D278" s="9">
        <v>0</v>
      </c>
      <c r="E278" s="9">
        <v>0</v>
      </c>
      <c r="F278" s="9">
        <v>0</v>
      </c>
      <c r="G278" s="9">
        <v>1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19">
        <f t="shared" si="0"/>
        <v>1</v>
      </c>
      <c r="O278" s="24">
        <v>2338</v>
      </c>
      <c r="P278" s="18">
        <f t="shared" si="1"/>
        <v>42.771599657827203</v>
      </c>
    </row>
    <row r="279" spans="1:16" ht="14.25" customHeight="1">
      <c r="A279" s="11">
        <v>316680</v>
      </c>
      <c r="B279" s="11" t="s">
        <v>640</v>
      </c>
      <c r="C279" s="8">
        <v>0</v>
      </c>
      <c r="D279" s="9">
        <v>0</v>
      </c>
      <c r="E279" s="9">
        <v>0</v>
      </c>
      <c r="F279" s="9">
        <v>0</v>
      </c>
      <c r="G279" s="9">
        <v>1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19">
        <f t="shared" si="0"/>
        <v>1</v>
      </c>
      <c r="O279" s="24">
        <v>11649</v>
      </c>
      <c r="P279" s="18">
        <f t="shared" si="1"/>
        <v>8.5844278478839389</v>
      </c>
    </row>
    <row r="280" spans="1:16" ht="14.25" customHeight="1">
      <c r="A280" s="11">
        <v>316690</v>
      </c>
      <c r="B280" s="11" t="s">
        <v>641</v>
      </c>
      <c r="C280" s="8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1</v>
      </c>
      <c r="N280" s="19">
        <f t="shared" si="0"/>
        <v>1</v>
      </c>
      <c r="O280" s="24">
        <v>7632</v>
      </c>
      <c r="P280" s="18">
        <f t="shared" si="1"/>
        <v>13.10272536687631</v>
      </c>
    </row>
    <row r="281" spans="1:16" ht="14.25" customHeight="1">
      <c r="A281" s="11">
        <v>316710</v>
      </c>
      <c r="B281" s="11" t="s">
        <v>642</v>
      </c>
      <c r="C281" s="8">
        <v>2</v>
      </c>
      <c r="D281" s="9">
        <v>1</v>
      </c>
      <c r="E281" s="9">
        <v>0</v>
      </c>
      <c r="F281" s="9">
        <v>0</v>
      </c>
      <c r="G281" s="9">
        <v>1</v>
      </c>
      <c r="H281" s="9">
        <v>0</v>
      </c>
      <c r="I281" s="9">
        <v>0</v>
      </c>
      <c r="J281" s="9">
        <v>0</v>
      </c>
      <c r="K281" s="9">
        <v>0</v>
      </c>
      <c r="L281" s="9">
        <v>1</v>
      </c>
      <c r="M281" s="9">
        <v>1</v>
      </c>
      <c r="N281" s="19">
        <f t="shared" si="0"/>
        <v>6</v>
      </c>
      <c r="O281" s="24">
        <v>20912</v>
      </c>
      <c r="P281" s="18">
        <f t="shared" si="1"/>
        <v>28.69166029074216</v>
      </c>
    </row>
    <row r="282" spans="1:16" ht="14.25" customHeight="1">
      <c r="A282" s="11">
        <v>316720</v>
      </c>
      <c r="B282" s="11" t="s">
        <v>643</v>
      </c>
      <c r="C282" s="8">
        <v>0</v>
      </c>
      <c r="D282" s="9">
        <v>0</v>
      </c>
      <c r="E282" s="9">
        <v>1</v>
      </c>
      <c r="F282" s="9">
        <v>1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4</v>
      </c>
      <c r="M282" s="9">
        <v>4</v>
      </c>
      <c r="N282" s="19">
        <f t="shared" si="0"/>
        <v>10</v>
      </c>
      <c r="O282" s="24">
        <v>241835</v>
      </c>
      <c r="P282" s="18">
        <f t="shared" si="1"/>
        <v>4.1350507577480515</v>
      </c>
    </row>
    <row r="283" spans="1:16" ht="14.25" customHeight="1">
      <c r="A283" s="11">
        <v>316730</v>
      </c>
      <c r="B283" s="11" t="s">
        <v>644</v>
      </c>
      <c r="C283" s="8">
        <v>0</v>
      </c>
      <c r="D283" s="9">
        <v>0</v>
      </c>
      <c r="E283" s="9">
        <v>2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19">
        <f t="shared" si="0"/>
        <v>2</v>
      </c>
      <c r="O283" s="24">
        <v>2274</v>
      </c>
      <c r="P283" s="18">
        <f t="shared" si="1"/>
        <v>87.950747581354449</v>
      </c>
    </row>
    <row r="284" spans="1:16" ht="14.25" customHeight="1">
      <c r="A284" s="11">
        <v>316780</v>
      </c>
      <c r="B284" s="11" t="s">
        <v>645</v>
      </c>
      <c r="C284" s="8">
        <v>6</v>
      </c>
      <c r="D284" s="9">
        <v>0</v>
      </c>
      <c r="E284" s="9">
        <v>0</v>
      </c>
      <c r="F284" s="9">
        <v>1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19">
        <f t="shared" si="0"/>
        <v>7</v>
      </c>
      <c r="O284" s="24">
        <v>6166</v>
      </c>
      <c r="P284" s="18">
        <f t="shared" si="1"/>
        <v>113.52578657152124</v>
      </c>
    </row>
    <row r="285" spans="1:16" ht="14.25" customHeight="1">
      <c r="A285" s="11">
        <v>316800</v>
      </c>
      <c r="B285" s="11" t="s">
        <v>646</v>
      </c>
      <c r="C285" s="8">
        <v>0</v>
      </c>
      <c r="D285" s="9">
        <v>0</v>
      </c>
      <c r="E285" s="9">
        <v>0</v>
      </c>
      <c r="F285" s="9">
        <v>0</v>
      </c>
      <c r="G285" s="9">
        <v>1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19">
        <f t="shared" si="0"/>
        <v>1</v>
      </c>
      <c r="O285" s="24">
        <v>34251</v>
      </c>
      <c r="P285" s="18">
        <f t="shared" si="1"/>
        <v>2.9196227847362124</v>
      </c>
    </row>
    <row r="286" spans="1:16" ht="14.25" customHeight="1">
      <c r="A286" s="11">
        <v>316860</v>
      </c>
      <c r="B286" s="11" t="s">
        <v>647</v>
      </c>
      <c r="C286" s="8">
        <v>2</v>
      </c>
      <c r="D286" s="9">
        <v>2</v>
      </c>
      <c r="E286" s="9">
        <v>0</v>
      </c>
      <c r="F286" s="9">
        <v>1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4</v>
      </c>
      <c r="M286" s="9">
        <v>0</v>
      </c>
      <c r="N286" s="19">
        <f t="shared" si="0"/>
        <v>9</v>
      </c>
      <c r="O286" s="24">
        <v>140786</v>
      </c>
      <c r="P286" s="18">
        <f t="shared" si="1"/>
        <v>6.3926810904493347</v>
      </c>
    </row>
    <row r="287" spans="1:16" ht="14.25" customHeight="1">
      <c r="A287" s="11">
        <v>316870</v>
      </c>
      <c r="B287" s="11" t="s">
        <v>648</v>
      </c>
      <c r="C287" s="8">
        <v>0</v>
      </c>
      <c r="D287" s="9">
        <v>0</v>
      </c>
      <c r="E287" s="9">
        <v>1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7</v>
      </c>
      <c r="M287" s="9">
        <v>1</v>
      </c>
      <c r="N287" s="19">
        <f t="shared" si="0"/>
        <v>9</v>
      </c>
      <c r="O287" s="24">
        <v>90568</v>
      </c>
      <c r="P287" s="18">
        <f t="shared" si="1"/>
        <v>9.9372846921650027</v>
      </c>
    </row>
    <row r="288" spans="1:16" ht="14.25" customHeight="1">
      <c r="A288" s="11">
        <v>316930</v>
      </c>
      <c r="B288" s="11" t="s">
        <v>649</v>
      </c>
      <c r="C288" s="8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3</v>
      </c>
      <c r="L288" s="9">
        <v>4</v>
      </c>
      <c r="M288" s="9">
        <v>7</v>
      </c>
      <c r="N288" s="19">
        <f t="shared" si="0"/>
        <v>14</v>
      </c>
      <c r="O288" s="24">
        <v>80032</v>
      </c>
      <c r="P288" s="18">
        <f t="shared" si="1"/>
        <v>17.493002798880447</v>
      </c>
    </row>
    <row r="289" spans="1:16" ht="14.25" customHeight="1">
      <c r="A289" s="11">
        <v>316935</v>
      </c>
      <c r="B289" s="11" t="s">
        <v>650</v>
      </c>
      <c r="C289" s="8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1</v>
      </c>
      <c r="N289" s="19">
        <f t="shared" si="0"/>
        <v>1</v>
      </c>
      <c r="O289" s="24">
        <v>32716</v>
      </c>
      <c r="P289" s="18">
        <f t="shared" si="1"/>
        <v>3.0566083873334144</v>
      </c>
    </row>
    <row r="290" spans="1:16" ht="14.25" customHeight="1">
      <c r="A290" s="11">
        <v>316940</v>
      </c>
      <c r="B290" s="11" t="s">
        <v>651</v>
      </c>
      <c r="C290" s="8">
        <v>16</v>
      </c>
      <c r="D290" s="9">
        <v>0</v>
      </c>
      <c r="E290" s="9">
        <v>0</v>
      </c>
      <c r="F290" s="9">
        <v>3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2</v>
      </c>
      <c r="N290" s="19">
        <f t="shared" si="0"/>
        <v>21</v>
      </c>
      <c r="O290" s="24">
        <v>56940</v>
      </c>
      <c r="P290" s="18">
        <f t="shared" si="1"/>
        <v>36.880927291886195</v>
      </c>
    </row>
    <row r="291" spans="1:16" ht="14.25" customHeight="1">
      <c r="A291" s="11">
        <v>316960</v>
      </c>
      <c r="B291" s="11" t="s">
        <v>652</v>
      </c>
      <c r="C291" s="8">
        <v>0</v>
      </c>
      <c r="D291" s="9">
        <v>0</v>
      </c>
      <c r="E291" s="9">
        <v>0</v>
      </c>
      <c r="F291" s="9">
        <v>2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19">
        <f t="shared" si="0"/>
        <v>2</v>
      </c>
      <c r="O291" s="24">
        <v>25398</v>
      </c>
      <c r="P291" s="18">
        <f t="shared" si="1"/>
        <v>7.8746357980943387</v>
      </c>
    </row>
    <row r="292" spans="1:16" ht="14.25" customHeight="1">
      <c r="A292" s="11">
        <v>316970</v>
      </c>
      <c r="B292" s="11" t="s">
        <v>653</v>
      </c>
      <c r="C292" s="8">
        <v>1</v>
      </c>
      <c r="D292" s="9">
        <v>1</v>
      </c>
      <c r="E292" s="9">
        <v>1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1</v>
      </c>
      <c r="N292" s="19">
        <f t="shared" si="0"/>
        <v>4</v>
      </c>
      <c r="O292" s="24">
        <v>20125</v>
      </c>
      <c r="P292" s="18">
        <f t="shared" si="1"/>
        <v>19.875776397515526</v>
      </c>
    </row>
    <row r="293" spans="1:16" ht="14.25" customHeight="1">
      <c r="A293" s="11">
        <v>316980</v>
      </c>
      <c r="B293" s="11" t="s">
        <v>654</v>
      </c>
      <c r="C293" s="8">
        <v>0</v>
      </c>
      <c r="D293" s="9">
        <v>0</v>
      </c>
      <c r="E293" s="9">
        <v>1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19">
        <f t="shared" si="0"/>
        <v>1</v>
      </c>
      <c r="O293" s="24">
        <v>5070</v>
      </c>
      <c r="P293" s="18">
        <f t="shared" si="1"/>
        <v>19.723865877712029</v>
      </c>
    </row>
    <row r="294" spans="1:16" ht="14.25" customHeight="1">
      <c r="A294" s="11">
        <v>316990</v>
      </c>
      <c r="B294" s="11" t="s">
        <v>655</v>
      </c>
      <c r="C294" s="8">
        <v>0</v>
      </c>
      <c r="D294" s="9">
        <v>0</v>
      </c>
      <c r="E294" s="9">
        <v>1</v>
      </c>
      <c r="F294" s="9">
        <v>0</v>
      </c>
      <c r="G294" s="9">
        <v>1</v>
      </c>
      <c r="H294" s="9">
        <v>0</v>
      </c>
      <c r="I294" s="9">
        <v>0</v>
      </c>
      <c r="J294" s="9">
        <v>0</v>
      </c>
      <c r="K294" s="9">
        <v>0</v>
      </c>
      <c r="L294" s="9">
        <v>3</v>
      </c>
      <c r="M294" s="9">
        <v>0</v>
      </c>
      <c r="N294" s="19">
        <f t="shared" si="0"/>
        <v>5</v>
      </c>
      <c r="O294" s="24">
        <v>116797</v>
      </c>
      <c r="P294" s="18">
        <f t="shared" si="1"/>
        <v>4.2809318732501689</v>
      </c>
    </row>
    <row r="295" spans="1:16" ht="14.25" customHeight="1">
      <c r="A295" s="11">
        <v>317000</v>
      </c>
      <c r="B295" s="11" t="s">
        <v>656</v>
      </c>
      <c r="C295" s="8">
        <v>0</v>
      </c>
      <c r="D295" s="9">
        <v>0</v>
      </c>
      <c r="E295" s="9">
        <v>0</v>
      </c>
      <c r="F295" s="9">
        <v>0</v>
      </c>
      <c r="G295" s="9">
        <v>1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19">
        <f t="shared" si="0"/>
        <v>1</v>
      </c>
      <c r="O295" s="24">
        <v>12599</v>
      </c>
      <c r="P295" s="18">
        <f t="shared" si="1"/>
        <v>7.9371378680847693</v>
      </c>
    </row>
    <row r="296" spans="1:16" ht="14.25" customHeight="1">
      <c r="A296" s="11">
        <v>317005</v>
      </c>
      <c r="B296" s="11" t="s">
        <v>657</v>
      </c>
      <c r="C296" s="8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1</v>
      </c>
      <c r="K296" s="9">
        <v>0</v>
      </c>
      <c r="L296" s="9">
        <v>0</v>
      </c>
      <c r="M296" s="9">
        <v>0</v>
      </c>
      <c r="N296" s="19">
        <f t="shared" si="0"/>
        <v>1</v>
      </c>
      <c r="O296" s="24">
        <v>12493</v>
      </c>
      <c r="P296" s="18">
        <f t="shared" si="1"/>
        <v>8.0044825102057153</v>
      </c>
    </row>
    <row r="297" spans="1:16" ht="14.25" customHeight="1">
      <c r="A297" s="11">
        <v>317010</v>
      </c>
      <c r="B297" s="11" t="s">
        <v>658</v>
      </c>
      <c r="C297" s="8">
        <v>0</v>
      </c>
      <c r="D297" s="9">
        <v>2</v>
      </c>
      <c r="E297" s="9">
        <v>4</v>
      </c>
      <c r="F297" s="9">
        <v>9</v>
      </c>
      <c r="G297" s="9">
        <v>3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2</v>
      </c>
      <c r="N297" s="19">
        <f t="shared" si="0"/>
        <v>20</v>
      </c>
      <c r="O297" s="24">
        <v>337092</v>
      </c>
      <c r="P297" s="18">
        <f t="shared" si="1"/>
        <v>5.9330983826373815</v>
      </c>
    </row>
    <row r="298" spans="1:16" ht="14.25" customHeight="1">
      <c r="A298" s="11">
        <v>317020</v>
      </c>
      <c r="B298" s="11" t="s">
        <v>659</v>
      </c>
      <c r="C298" s="8">
        <v>39</v>
      </c>
      <c r="D298" s="9">
        <v>20</v>
      </c>
      <c r="E298" s="9">
        <v>13</v>
      </c>
      <c r="F298" s="9">
        <v>30</v>
      </c>
      <c r="G298" s="9">
        <v>12</v>
      </c>
      <c r="H298" s="9">
        <v>1</v>
      </c>
      <c r="I298" s="9">
        <v>4</v>
      </c>
      <c r="J298" s="9">
        <v>4</v>
      </c>
      <c r="K298" s="9">
        <v>2</v>
      </c>
      <c r="L298" s="9">
        <v>11</v>
      </c>
      <c r="M298" s="9">
        <v>32</v>
      </c>
      <c r="N298" s="19">
        <f t="shared" si="0"/>
        <v>168</v>
      </c>
      <c r="O298" s="24">
        <v>699097</v>
      </c>
      <c r="P298" s="18">
        <f t="shared" si="1"/>
        <v>24.03099998998708</v>
      </c>
    </row>
    <row r="299" spans="1:16" ht="14.25" customHeight="1">
      <c r="A299" s="11">
        <v>317040</v>
      </c>
      <c r="B299" s="11" t="s">
        <v>660</v>
      </c>
      <c r="C299" s="8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2</v>
      </c>
      <c r="N299" s="19">
        <f t="shared" si="0"/>
        <v>2</v>
      </c>
      <c r="O299" s="24">
        <v>84930</v>
      </c>
      <c r="P299" s="18">
        <f t="shared" si="1"/>
        <v>2.3548804898151419</v>
      </c>
    </row>
    <row r="300" spans="1:16" ht="14.25" customHeight="1">
      <c r="A300" s="11">
        <v>317050</v>
      </c>
      <c r="B300" s="11" t="s">
        <v>661</v>
      </c>
      <c r="C300" s="8">
        <v>1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19">
        <f t="shared" si="0"/>
        <v>1</v>
      </c>
      <c r="O300" s="24">
        <v>10345</v>
      </c>
      <c r="P300" s="18">
        <f t="shared" si="1"/>
        <v>9.6665055582406954</v>
      </c>
    </row>
    <row r="301" spans="1:16" ht="14.25" customHeight="1">
      <c r="A301" s="11">
        <v>317060</v>
      </c>
      <c r="B301" s="11" t="s">
        <v>662</v>
      </c>
      <c r="C301" s="8">
        <v>0</v>
      </c>
      <c r="D301" s="9">
        <v>0</v>
      </c>
      <c r="E301" s="9">
        <v>1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19">
        <f t="shared" si="0"/>
        <v>1</v>
      </c>
      <c r="O301" s="24">
        <v>2153</v>
      </c>
      <c r="P301" s="18">
        <f t="shared" si="1"/>
        <v>46.446818392940081</v>
      </c>
    </row>
    <row r="302" spans="1:16" ht="14.25" customHeight="1">
      <c r="A302" s="11">
        <v>317070</v>
      </c>
      <c r="B302" s="11" t="s">
        <v>663</v>
      </c>
      <c r="C302" s="8">
        <v>0</v>
      </c>
      <c r="D302" s="9">
        <v>2</v>
      </c>
      <c r="E302" s="9">
        <v>0</v>
      </c>
      <c r="F302" s="9">
        <v>1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1</v>
      </c>
      <c r="M302" s="9">
        <v>2</v>
      </c>
      <c r="N302" s="19">
        <f t="shared" si="0"/>
        <v>6</v>
      </c>
      <c r="O302" s="24">
        <v>136602</v>
      </c>
      <c r="P302" s="18">
        <f t="shared" si="1"/>
        <v>4.392322220758115</v>
      </c>
    </row>
    <row r="303" spans="1:16" ht="14.25" customHeight="1">
      <c r="A303" s="11">
        <v>317080</v>
      </c>
      <c r="B303" s="11" t="s">
        <v>664</v>
      </c>
      <c r="C303" s="8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2</v>
      </c>
      <c r="M303" s="9">
        <v>0</v>
      </c>
      <c r="N303" s="19">
        <f t="shared" si="0"/>
        <v>2</v>
      </c>
      <c r="O303" s="24">
        <v>40101</v>
      </c>
      <c r="P303" s="18">
        <f t="shared" si="1"/>
        <v>4.9874067978354653</v>
      </c>
    </row>
    <row r="304" spans="1:16" ht="14.25" customHeight="1">
      <c r="A304" s="11">
        <v>317120</v>
      </c>
      <c r="B304" s="11" t="s">
        <v>665</v>
      </c>
      <c r="C304" s="8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1</v>
      </c>
      <c r="M304" s="9">
        <v>0</v>
      </c>
      <c r="N304" s="19">
        <f t="shared" si="0"/>
        <v>1</v>
      </c>
      <c r="O304" s="24">
        <v>129765</v>
      </c>
      <c r="P304" s="18">
        <f t="shared" si="1"/>
        <v>0.77062381998227558</v>
      </c>
    </row>
    <row r="305" spans="1:16" ht="14.25" customHeight="1">
      <c r="A305" s="11">
        <v>317130</v>
      </c>
      <c r="B305" s="11" t="s">
        <v>666</v>
      </c>
      <c r="C305" s="8">
        <v>0</v>
      </c>
      <c r="D305" s="9">
        <v>1</v>
      </c>
      <c r="E305" s="9">
        <v>1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1</v>
      </c>
      <c r="M305" s="9">
        <v>1</v>
      </c>
      <c r="N305" s="19">
        <f t="shared" si="0"/>
        <v>4</v>
      </c>
      <c r="O305" s="24">
        <v>79388</v>
      </c>
      <c r="P305" s="18">
        <f t="shared" si="1"/>
        <v>5.0385448682420515</v>
      </c>
    </row>
    <row r="306" spans="1:16" ht="14.25" customHeight="1">
      <c r="A306" s="11">
        <v>317170</v>
      </c>
      <c r="B306" s="11" t="s">
        <v>667</v>
      </c>
      <c r="C306" s="8">
        <v>0</v>
      </c>
      <c r="D306" s="9">
        <v>0</v>
      </c>
      <c r="E306" s="9">
        <v>4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1</v>
      </c>
      <c r="N306" s="19">
        <f t="shared" si="0"/>
        <v>5</v>
      </c>
      <c r="O306" s="24">
        <v>8825</v>
      </c>
      <c r="P306" s="18">
        <f t="shared" si="1"/>
        <v>56.657223796033989</v>
      </c>
    </row>
    <row r="307" spans="1:16" ht="14.25" customHeight="1">
      <c r="A307" s="11">
        <v>317190</v>
      </c>
      <c r="B307" s="11" t="s">
        <v>668</v>
      </c>
      <c r="C307" s="8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1</v>
      </c>
      <c r="M307" s="9">
        <v>0</v>
      </c>
      <c r="N307" s="19">
        <f t="shared" si="0"/>
        <v>1</v>
      </c>
      <c r="O307" s="24">
        <v>5378</v>
      </c>
      <c r="P307" s="18">
        <f t="shared" si="1"/>
        <v>18.594272963927111</v>
      </c>
    </row>
    <row r="308" spans="1:16" ht="14.25" customHeight="1">
      <c r="A308" s="11">
        <v>317200</v>
      </c>
      <c r="B308" s="11" t="s">
        <v>669</v>
      </c>
      <c r="C308" s="8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5</v>
      </c>
      <c r="M308" s="9">
        <v>0</v>
      </c>
      <c r="N308" s="19">
        <f t="shared" si="0"/>
        <v>5</v>
      </c>
      <c r="O308" s="24">
        <v>42942</v>
      </c>
      <c r="P308" s="18">
        <f t="shared" si="1"/>
        <v>11.643612314284383</v>
      </c>
    </row>
    <row r="309" spans="1:16" ht="14.25" customHeight="1"/>
    <row r="310" spans="1:16" ht="14.25" customHeight="1"/>
    <row r="311" spans="1:16" ht="14.25" customHeight="1"/>
    <row r="312" spans="1:16" ht="14.25" customHeight="1"/>
    <row r="313" spans="1:16" ht="14.25" customHeight="1"/>
    <row r="314" spans="1:16" ht="14.25" customHeight="1"/>
    <row r="315" spans="1:16" ht="14.25" customHeight="1"/>
    <row r="316" spans="1:16" ht="14.25" customHeight="1"/>
    <row r="317" spans="1:16" ht="14.25" customHeight="1"/>
    <row r="318" spans="1:16" ht="14.25" customHeight="1"/>
    <row r="319" spans="1:16" ht="14.25" customHeight="1"/>
    <row r="320" spans="1:16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3"/>
  <sheetViews>
    <sheetView workbookViewId="0"/>
  </sheetViews>
  <sheetFormatPr defaultColWidth="14.44140625" defaultRowHeight="15" customHeight="1"/>
  <cols>
    <col min="1" max="2" width="24.6640625" customWidth="1"/>
    <col min="3" max="3" width="17.5546875" customWidth="1"/>
    <col min="4" max="4" width="13.109375" customWidth="1"/>
    <col min="5" max="5" width="16.6640625" customWidth="1"/>
    <col min="6" max="7" width="8.6640625" customWidth="1"/>
    <col min="8" max="8" width="26.6640625" customWidth="1"/>
    <col min="9" max="9" width="15" customWidth="1"/>
    <col min="10" max="10" width="19.44140625" customWidth="1"/>
    <col min="11" max="11" width="8.6640625" customWidth="1"/>
    <col min="12" max="12" width="4.44140625" customWidth="1"/>
    <col min="13" max="13" width="8.6640625" customWidth="1"/>
    <col min="14" max="14" width="29.44140625" customWidth="1"/>
    <col min="15" max="15" width="25.5546875" customWidth="1"/>
    <col min="16" max="16" width="12.6640625" customWidth="1"/>
    <col min="17" max="17" width="8.6640625" customWidth="1"/>
    <col min="20" max="20" width="26.6640625" customWidth="1"/>
    <col min="21" max="21" width="16.44140625" customWidth="1"/>
  </cols>
  <sheetData>
    <row r="1" spans="1:23" ht="14.25" customHeight="1">
      <c r="A1" s="25"/>
      <c r="B1" s="58" t="s">
        <v>670</v>
      </c>
      <c r="C1" s="59"/>
      <c r="D1" s="60"/>
      <c r="E1" s="19"/>
      <c r="G1" s="25"/>
      <c r="H1" s="58" t="s">
        <v>671</v>
      </c>
      <c r="I1" s="59"/>
      <c r="J1" s="60"/>
      <c r="K1" s="19"/>
      <c r="M1" s="25"/>
      <c r="N1" s="58" t="s">
        <v>672</v>
      </c>
      <c r="O1" s="59"/>
      <c r="P1" s="60"/>
      <c r="Q1" s="19"/>
      <c r="S1" s="25"/>
      <c r="T1" s="58" t="s">
        <v>673</v>
      </c>
      <c r="U1" s="59"/>
      <c r="V1" s="60"/>
      <c r="W1" s="19"/>
    </row>
    <row r="2" spans="1:23" ht="14.25" customHeight="1">
      <c r="A2" s="26"/>
      <c r="B2" s="3" t="s">
        <v>674</v>
      </c>
      <c r="C2" s="27" t="s">
        <v>675</v>
      </c>
      <c r="D2" s="28" t="s">
        <v>676</v>
      </c>
      <c r="E2" s="29" t="s">
        <v>677</v>
      </c>
      <c r="G2" s="26"/>
      <c r="H2" s="3" t="s">
        <v>674</v>
      </c>
      <c r="I2" s="27" t="s">
        <v>675</v>
      </c>
      <c r="J2" s="28" t="s">
        <v>676</v>
      </c>
      <c r="K2" s="29" t="s">
        <v>677</v>
      </c>
      <c r="M2" s="26"/>
      <c r="N2" s="3" t="s">
        <v>674</v>
      </c>
      <c r="O2" s="27" t="s">
        <v>675</v>
      </c>
      <c r="P2" s="28" t="s">
        <v>676</v>
      </c>
      <c r="Q2" s="29" t="s">
        <v>677</v>
      </c>
      <c r="S2" s="26"/>
      <c r="T2" s="3" t="s">
        <v>674</v>
      </c>
      <c r="U2" s="27" t="s">
        <v>675</v>
      </c>
      <c r="V2" s="28" t="s">
        <v>676</v>
      </c>
      <c r="W2" s="29" t="s">
        <v>677</v>
      </c>
    </row>
    <row r="3" spans="1:23" ht="14.25" customHeight="1">
      <c r="A3" s="6"/>
      <c r="B3" s="7" t="s">
        <v>5</v>
      </c>
      <c r="C3" s="17">
        <v>95.5</v>
      </c>
      <c r="D3" s="30">
        <v>102.54</v>
      </c>
      <c r="E3" s="11">
        <f t="shared" ref="E3:E249" si="0">SUM(C3:D3)/2</f>
        <v>99.02000000000001</v>
      </c>
      <c r="G3" s="11"/>
      <c r="H3" s="31" t="s">
        <v>678</v>
      </c>
      <c r="I3" s="32">
        <v>0.78</v>
      </c>
      <c r="J3" s="17">
        <v>73.459999999999994</v>
      </c>
      <c r="K3" s="17">
        <v>75.73</v>
      </c>
      <c r="M3" s="11"/>
      <c r="N3" s="33" t="s">
        <v>679</v>
      </c>
      <c r="O3" s="17">
        <v>84.49</v>
      </c>
      <c r="P3" s="17">
        <v>108.02</v>
      </c>
      <c r="Q3" s="17">
        <v>96.25</v>
      </c>
      <c r="S3" s="11"/>
      <c r="T3" s="31" t="s">
        <v>680</v>
      </c>
      <c r="U3" s="17">
        <v>82.08</v>
      </c>
      <c r="V3" s="15">
        <v>116.71</v>
      </c>
      <c r="W3" s="34">
        <v>99.4</v>
      </c>
    </row>
    <row r="4" spans="1:23" ht="14.25" customHeight="1">
      <c r="A4" s="6"/>
      <c r="B4" s="7" t="s">
        <v>6</v>
      </c>
      <c r="C4" s="11">
        <v>99.34</v>
      </c>
      <c r="D4" s="30">
        <v>106.45</v>
      </c>
      <c r="E4" s="11">
        <f t="shared" si="0"/>
        <v>102.89500000000001</v>
      </c>
      <c r="G4" s="11"/>
      <c r="H4" s="31" t="s">
        <v>681</v>
      </c>
      <c r="I4" s="32">
        <v>0.9</v>
      </c>
      <c r="J4" s="17">
        <v>95.87</v>
      </c>
      <c r="K4" s="17">
        <v>92.935000000000002</v>
      </c>
      <c r="M4" s="11"/>
      <c r="N4" s="33" t="s">
        <v>682</v>
      </c>
      <c r="O4" s="17">
        <v>100.33</v>
      </c>
      <c r="P4" s="17">
        <v>99.22</v>
      </c>
      <c r="Q4" s="17">
        <v>99.78</v>
      </c>
      <c r="S4" s="11"/>
      <c r="T4" s="31" t="s">
        <v>683</v>
      </c>
      <c r="U4" s="17">
        <v>88.03</v>
      </c>
      <c r="V4" s="15">
        <v>89.93</v>
      </c>
      <c r="W4" s="34">
        <v>88.98</v>
      </c>
    </row>
    <row r="5" spans="1:23" ht="14.25" customHeight="1">
      <c r="A5" s="6"/>
      <c r="B5" s="7" t="s">
        <v>7</v>
      </c>
      <c r="C5" s="11">
        <v>83.06</v>
      </c>
      <c r="D5" s="30">
        <v>78.92</v>
      </c>
      <c r="E5" s="11">
        <f t="shared" si="0"/>
        <v>80.990000000000009</v>
      </c>
      <c r="G5" s="11"/>
      <c r="H5" s="31" t="s">
        <v>684</v>
      </c>
      <c r="I5" s="32">
        <v>0.79</v>
      </c>
      <c r="J5" s="17">
        <v>89.63</v>
      </c>
      <c r="K5" s="17">
        <v>84.314999999999998</v>
      </c>
      <c r="M5" s="11"/>
      <c r="N5" s="33" t="s">
        <v>685</v>
      </c>
      <c r="O5" s="17">
        <v>92.69</v>
      </c>
      <c r="P5" s="17">
        <v>100.31</v>
      </c>
      <c r="Q5" s="17">
        <v>96.5</v>
      </c>
      <c r="S5" s="11"/>
      <c r="T5" s="31" t="s">
        <v>686</v>
      </c>
      <c r="U5" s="17">
        <v>93.01</v>
      </c>
      <c r="V5" s="15">
        <v>91.85</v>
      </c>
      <c r="W5" s="34">
        <v>92.43</v>
      </c>
    </row>
    <row r="6" spans="1:23" ht="14.25" customHeight="1">
      <c r="A6" s="6"/>
      <c r="B6" s="7" t="s">
        <v>9</v>
      </c>
      <c r="C6" s="11">
        <v>94.52</v>
      </c>
      <c r="D6" s="30">
        <v>90.6</v>
      </c>
      <c r="E6" s="11">
        <f t="shared" si="0"/>
        <v>92.56</v>
      </c>
      <c r="G6" s="11"/>
      <c r="H6" s="31" t="s">
        <v>687</v>
      </c>
      <c r="I6" s="32">
        <v>1.17</v>
      </c>
      <c r="J6" s="17">
        <v>103.39</v>
      </c>
      <c r="K6" s="17">
        <v>110.19499999999999</v>
      </c>
      <c r="M6" s="11"/>
      <c r="N6" s="33" t="s">
        <v>688</v>
      </c>
      <c r="O6" s="17">
        <v>104.65</v>
      </c>
      <c r="P6" s="17">
        <v>387.93</v>
      </c>
      <c r="Q6" s="17">
        <v>246.29</v>
      </c>
      <c r="S6" s="11"/>
      <c r="T6" s="31" t="s">
        <v>689</v>
      </c>
      <c r="U6" s="17">
        <v>97.08</v>
      </c>
      <c r="V6" s="15">
        <v>135.43</v>
      </c>
      <c r="W6" s="34">
        <v>116.26</v>
      </c>
    </row>
    <row r="7" spans="1:23" ht="14.25" customHeight="1">
      <c r="A7" s="11"/>
      <c r="B7" s="11" t="s">
        <v>10</v>
      </c>
      <c r="C7" s="11">
        <v>95.42</v>
      </c>
      <c r="D7" s="30">
        <v>103.3</v>
      </c>
      <c r="E7" s="11">
        <f t="shared" si="0"/>
        <v>99.36</v>
      </c>
      <c r="G7" s="11"/>
      <c r="H7" s="31" t="s">
        <v>690</v>
      </c>
      <c r="I7" s="32">
        <v>0.83</v>
      </c>
      <c r="J7" s="17">
        <v>80.31</v>
      </c>
      <c r="K7" s="17">
        <v>81.655000000000001</v>
      </c>
      <c r="M7" s="11"/>
      <c r="N7" s="33" t="s">
        <v>691</v>
      </c>
      <c r="O7" s="17">
        <v>101.47</v>
      </c>
      <c r="P7" s="17">
        <v>97.3</v>
      </c>
      <c r="Q7" s="17">
        <v>99.38</v>
      </c>
      <c r="S7" s="11"/>
      <c r="T7" s="31" t="s">
        <v>692</v>
      </c>
      <c r="U7" s="17">
        <v>94.97</v>
      </c>
      <c r="V7" s="15">
        <v>105.9</v>
      </c>
      <c r="W7" s="34">
        <v>100.44</v>
      </c>
    </row>
    <row r="8" spans="1:23" ht="14.25" customHeight="1">
      <c r="A8" s="11"/>
      <c r="B8" s="11" t="s">
        <v>11</v>
      </c>
      <c r="C8" s="11">
        <v>84.98</v>
      </c>
      <c r="D8" s="30">
        <v>97.13</v>
      </c>
      <c r="E8" s="11">
        <f t="shared" si="0"/>
        <v>91.055000000000007</v>
      </c>
      <c r="G8" s="11"/>
      <c r="H8" s="31" t="s">
        <v>693</v>
      </c>
      <c r="I8" s="32">
        <v>0.7</v>
      </c>
      <c r="J8" s="17">
        <v>73.22</v>
      </c>
      <c r="K8" s="17">
        <v>71.61</v>
      </c>
      <c r="M8" s="11"/>
      <c r="N8" s="33" t="s">
        <v>694</v>
      </c>
      <c r="O8" s="17">
        <v>122.44</v>
      </c>
      <c r="P8" s="17">
        <v>144.16999999999999</v>
      </c>
      <c r="Q8" s="17">
        <v>133.31</v>
      </c>
      <c r="S8" s="11"/>
      <c r="T8" s="31" t="s">
        <v>695</v>
      </c>
      <c r="U8" s="17">
        <v>77.069999999999993</v>
      </c>
      <c r="V8" s="15">
        <v>103.86</v>
      </c>
      <c r="W8" s="34">
        <v>90.47</v>
      </c>
    </row>
    <row r="9" spans="1:23" ht="14.25" customHeight="1">
      <c r="A9" s="11"/>
      <c r="B9" s="11" t="s">
        <v>12</v>
      </c>
      <c r="C9" s="11">
        <v>91.06</v>
      </c>
      <c r="D9" s="30">
        <v>91.18</v>
      </c>
      <c r="E9" s="11">
        <f t="shared" si="0"/>
        <v>91.12</v>
      </c>
      <c r="G9" s="11"/>
      <c r="H9" s="31" t="s">
        <v>696</v>
      </c>
      <c r="I9" s="32">
        <v>0.74</v>
      </c>
      <c r="J9" s="17">
        <v>75.88</v>
      </c>
      <c r="K9" s="17">
        <v>74.94</v>
      </c>
      <c r="M9" s="19"/>
      <c r="N9" s="33" t="s">
        <v>697</v>
      </c>
      <c r="O9" s="17">
        <v>89.31</v>
      </c>
      <c r="P9" s="17">
        <v>95.9</v>
      </c>
      <c r="Q9" s="17">
        <v>92.6</v>
      </c>
      <c r="S9" s="19"/>
      <c r="T9" s="31" t="s">
        <v>698</v>
      </c>
      <c r="U9" s="17">
        <v>91.71</v>
      </c>
      <c r="V9" s="15">
        <v>140.27000000000001</v>
      </c>
      <c r="W9" s="34">
        <v>115.99</v>
      </c>
    </row>
    <row r="10" spans="1:23" ht="14.25" customHeight="1">
      <c r="A10" s="11"/>
      <c r="B10" s="11" t="s">
        <v>13</v>
      </c>
      <c r="C10" s="11">
        <v>107.89</v>
      </c>
      <c r="D10" s="30">
        <v>106.26</v>
      </c>
      <c r="E10" s="11">
        <f t="shared" si="0"/>
        <v>107.075</v>
      </c>
      <c r="G10" s="11"/>
      <c r="H10" s="31" t="s">
        <v>699</v>
      </c>
      <c r="I10" s="32">
        <v>0.84</v>
      </c>
      <c r="J10" s="17">
        <v>92.29</v>
      </c>
      <c r="K10" s="17">
        <v>88.144999999999996</v>
      </c>
      <c r="M10" s="19"/>
      <c r="N10" s="33" t="s">
        <v>700</v>
      </c>
      <c r="O10" s="17">
        <v>90.93</v>
      </c>
      <c r="P10" s="17">
        <v>101.91</v>
      </c>
      <c r="Q10" s="17">
        <v>96.42</v>
      </c>
      <c r="S10" s="19"/>
      <c r="T10" s="31" t="s">
        <v>701</v>
      </c>
      <c r="U10" s="17">
        <v>71.73</v>
      </c>
      <c r="V10" s="15">
        <v>128.46</v>
      </c>
      <c r="W10" s="34">
        <v>100.1</v>
      </c>
    </row>
    <row r="11" spans="1:23" ht="14.25" customHeight="1">
      <c r="A11" s="11"/>
      <c r="B11" s="11" t="s">
        <v>14</v>
      </c>
      <c r="C11" s="11">
        <v>85.14</v>
      </c>
      <c r="D11" s="30">
        <v>97.6</v>
      </c>
      <c r="E11" s="11">
        <f t="shared" si="0"/>
        <v>91.37</v>
      </c>
      <c r="G11" s="11"/>
      <c r="H11" s="31" t="s">
        <v>702</v>
      </c>
      <c r="I11" s="32">
        <v>0.36</v>
      </c>
      <c r="J11" s="17">
        <v>42.34</v>
      </c>
      <c r="K11" s="17">
        <v>39.17</v>
      </c>
      <c r="M11" s="19"/>
      <c r="N11" s="33" t="s">
        <v>703</v>
      </c>
      <c r="O11" s="17">
        <v>88.05</v>
      </c>
      <c r="P11" s="17">
        <v>110.34</v>
      </c>
      <c r="Q11" s="17">
        <v>99.2</v>
      </c>
      <c r="S11" s="19"/>
      <c r="T11" s="31" t="s">
        <v>704</v>
      </c>
      <c r="U11" s="17">
        <v>144.38</v>
      </c>
      <c r="V11" s="15">
        <v>102.83</v>
      </c>
      <c r="W11" s="34">
        <v>123.61</v>
      </c>
    </row>
    <row r="12" spans="1:23" ht="14.25" customHeight="1">
      <c r="A12" s="11"/>
      <c r="B12" s="11" t="s">
        <v>15</v>
      </c>
      <c r="C12" s="11">
        <v>94.52</v>
      </c>
      <c r="D12" s="30">
        <v>111.06</v>
      </c>
      <c r="E12" s="11">
        <f t="shared" si="0"/>
        <v>102.78999999999999</v>
      </c>
      <c r="G12" s="11"/>
      <c r="H12" s="31" t="s">
        <v>705</v>
      </c>
      <c r="I12" s="32">
        <v>0.8</v>
      </c>
      <c r="J12" s="17">
        <v>94.63</v>
      </c>
      <c r="K12" s="17">
        <v>87.314999999999998</v>
      </c>
      <c r="M12" s="19"/>
      <c r="N12" s="33" t="s">
        <v>706</v>
      </c>
      <c r="O12" s="17">
        <v>119.41</v>
      </c>
      <c r="P12" s="17">
        <v>109.31</v>
      </c>
      <c r="Q12" s="17">
        <v>114.36</v>
      </c>
      <c r="S12" s="19"/>
      <c r="T12" s="31" t="s">
        <v>707</v>
      </c>
      <c r="U12" s="17">
        <v>90.34</v>
      </c>
      <c r="V12" s="15">
        <v>104.61</v>
      </c>
      <c r="W12" s="34">
        <v>97.48</v>
      </c>
    </row>
    <row r="13" spans="1:23" ht="14.25" customHeight="1">
      <c r="A13" s="11"/>
      <c r="B13" s="11" t="s">
        <v>16</v>
      </c>
      <c r="C13" s="11">
        <v>93.22</v>
      </c>
      <c r="D13" s="30">
        <v>99.99</v>
      </c>
      <c r="E13" s="11">
        <f t="shared" si="0"/>
        <v>96.60499999999999</v>
      </c>
      <c r="G13" s="11"/>
      <c r="H13" s="31" t="s">
        <v>708</v>
      </c>
      <c r="I13" s="32">
        <v>0.48</v>
      </c>
      <c r="J13" s="17">
        <v>77.260000000000005</v>
      </c>
      <c r="K13" s="17">
        <v>62.63</v>
      </c>
      <c r="M13" s="19"/>
      <c r="N13" s="33" t="s">
        <v>709</v>
      </c>
      <c r="O13" s="17">
        <v>86.22</v>
      </c>
      <c r="P13" s="17">
        <v>85.77</v>
      </c>
      <c r="Q13" s="17">
        <v>86</v>
      </c>
      <c r="S13" s="19"/>
      <c r="T13" s="31" t="s">
        <v>710</v>
      </c>
      <c r="U13" s="17">
        <v>98.86</v>
      </c>
      <c r="V13" s="15">
        <v>83.13</v>
      </c>
      <c r="W13" s="34">
        <v>91</v>
      </c>
    </row>
    <row r="14" spans="1:23" ht="14.25" customHeight="1">
      <c r="A14" s="11"/>
      <c r="B14" s="11" t="s">
        <v>17</v>
      </c>
      <c r="C14" s="11">
        <v>74.84</v>
      </c>
      <c r="D14" s="30">
        <v>99.3</v>
      </c>
      <c r="E14" s="11">
        <f t="shared" si="0"/>
        <v>87.07</v>
      </c>
      <c r="G14" s="11"/>
      <c r="H14" s="31" t="s">
        <v>711</v>
      </c>
      <c r="I14" s="32">
        <v>0.71</v>
      </c>
      <c r="J14" s="17">
        <v>87.62</v>
      </c>
      <c r="K14" s="17">
        <v>79.31</v>
      </c>
      <c r="M14" s="19"/>
      <c r="N14" s="33" t="s">
        <v>712</v>
      </c>
      <c r="O14" s="17">
        <v>86.37</v>
      </c>
      <c r="P14" s="17">
        <v>91.99</v>
      </c>
      <c r="Q14" s="17">
        <v>89.18</v>
      </c>
      <c r="S14" s="19"/>
      <c r="T14" s="31" t="s">
        <v>713</v>
      </c>
      <c r="U14" s="17">
        <v>98.23</v>
      </c>
      <c r="V14" s="15">
        <v>92.89</v>
      </c>
      <c r="W14" s="34">
        <v>95.56</v>
      </c>
    </row>
    <row r="15" spans="1:23" ht="14.25" customHeight="1">
      <c r="A15" s="11"/>
      <c r="B15" s="11" t="s">
        <v>18</v>
      </c>
      <c r="C15" s="11">
        <v>88.4</v>
      </c>
      <c r="D15" s="30">
        <v>103.11</v>
      </c>
      <c r="E15" s="11">
        <f t="shared" si="0"/>
        <v>95.754999999999995</v>
      </c>
      <c r="G15" s="11"/>
      <c r="H15" s="31" t="s">
        <v>714</v>
      </c>
      <c r="I15" s="32">
        <v>0.9</v>
      </c>
      <c r="J15" s="17">
        <v>83.65</v>
      </c>
      <c r="K15" s="17">
        <v>86.825000000000003</v>
      </c>
      <c r="M15" s="19"/>
      <c r="N15" s="33" t="s">
        <v>715</v>
      </c>
      <c r="O15" s="17">
        <v>95.23</v>
      </c>
      <c r="P15" s="17">
        <v>91.46</v>
      </c>
      <c r="Q15" s="17">
        <v>93.35</v>
      </c>
      <c r="S15" s="19"/>
      <c r="T15" s="31" t="s">
        <v>716</v>
      </c>
      <c r="U15" s="17">
        <v>125.77</v>
      </c>
      <c r="V15" s="15">
        <v>102.98</v>
      </c>
      <c r="W15" s="34">
        <v>114.38</v>
      </c>
    </row>
    <row r="16" spans="1:23" ht="14.25" customHeight="1">
      <c r="A16" s="11"/>
      <c r="B16" s="11" t="s">
        <v>19</v>
      </c>
      <c r="C16" s="11">
        <v>85.07</v>
      </c>
      <c r="D16" s="30">
        <v>97.98</v>
      </c>
      <c r="E16" s="11">
        <f t="shared" si="0"/>
        <v>91.525000000000006</v>
      </c>
      <c r="G16" s="11"/>
      <c r="H16" s="31" t="s">
        <v>717</v>
      </c>
      <c r="I16" s="32">
        <v>0.71</v>
      </c>
      <c r="J16" s="17">
        <v>85.68</v>
      </c>
      <c r="K16" s="17">
        <v>78.34</v>
      </c>
      <c r="M16" s="19"/>
      <c r="N16" s="33" t="s">
        <v>718</v>
      </c>
      <c r="O16" s="17">
        <v>84.55</v>
      </c>
      <c r="P16" s="17">
        <v>106.26</v>
      </c>
      <c r="Q16" s="17">
        <v>95.4</v>
      </c>
      <c r="S16" s="19"/>
      <c r="T16" s="31" t="s">
        <v>719</v>
      </c>
      <c r="U16" s="17">
        <v>101.41</v>
      </c>
      <c r="V16" s="15">
        <v>385.18</v>
      </c>
      <c r="W16" s="34">
        <v>243.3</v>
      </c>
    </row>
    <row r="17" spans="1:23" ht="14.25" customHeight="1">
      <c r="A17" s="11"/>
      <c r="B17" s="11" t="s">
        <v>20</v>
      </c>
      <c r="C17" s="11">
        <v>96.11</v>
      </c>
      <c r="D17" s="30">
        <v>92.12</v>
      </c>
      <c r="E17" s="11">
        <f t="shared" si="0"/>
        <v>94.115000000000009</v>
      </c>
      <c r="G17" s="11"/>
      <c r="H17" s="31" t="s">
        <v>720</v>
      </c>
      <c r="I17" s="32">
        <v>0.7</v>
      </c>
      <c r="J17" s="17">
        <v>87.29</v>
      </c>
      <c r="K17" s="17">
        <v>78.644999999999996</v>
      </c>
      <c r="M17" s="19"/>
      <c r="N17" s="33" t="s">
        <v>721</v>
      </c>
      <c r="O17" s="17">
        <v>80.19</v>
      </c>
      <c r="P17" s="17">
        <v>82.32</v>
      </c>
      <c r="Q17" s="17">
        <v>81.260000000000005</v>
      </c>
      <c r="S17" s="19"/>
      <c r="T17" s="31" t="s">
        <v>722</v>
      </c>
      <c r="U17" s="17">
        <v>91.85</v>
      </c>
      <c r="V17" s="15">
        <v>95.41</v>
      </c>
      <c r="W17" s="34">
        <v>93.63</v>
      </c>
    </row>
    <row r="18" spans="1:23" ht="14.25" customHeight="1">
      <c r="A18" s="11"/>
      <c r="B18" s="11" t="s">
        <v>21</v>
      </c>
      <c r="C18" s="11">
        <v>91.84</v>
      </c>
      <c r="D18" s="30">
        <v>97.8</v>
      </c>
      <c r="E18" s="11">
        <f t="shared" si="0"/>
        <v>94.82</v>
      </c>
      <c r="G18" s="11"/>
      <c r="H18" s="31" t="s">
        <v>723</v>
      </c>
      <c r="I18" s="32">
        <v>1.01</v>
      </c>
      <c r="J18" s="17">
        <v>92.27</v>
      </c>
      <c r="K18" s="17">
        <v>96.635000000000005</v>
      </c>
      <c r="M18" s="19"/>
      <c r="N18" s="33" t="s">
        <v>724</v>
      </c>
      <c r="O18" s="17">
        <v>88.67</v>
      </c>
      <c r="P18" s="17">
        <v>87.42</v>
      </c>
      <c r="Q18" s="17">
        <v>88.05</v>
      </c>
      <c r="S18" s="19"/>
      <c r="T18" s="31" t="s">
        <v>725</v>
      </c>
      <c r="U18" s="17">
        <v>95.26</v>
      </c>
      <c r="V18" s="15">
        <v>88.76</v>
      </c>
      <c r="W18" s="34">
        <v>92.01</v>
      </c>
    </row>
    <row r="19" spans="1:23" ht="14.25" customHeight="1">
      <c r="A19" s="11"/>
      <c r="B19" s="11" t="s">
        <v>23</v>
      </c>
      <c r="C19" s="11">
        <v>86.17</v>
      </c>
      <c r="D19" s="30">
        <v>98.13</v>
      </c>
      <c r="E19" s="11">
        <f t="shared" si="0"/>
        <v>92.15</v>
      </c>
      <c r="G19" s="11"/>
      <c r="H19" s="31" t="s">
        <v>726</v>
      </c>
      <c r="I19" s="32">
        <v>0.89</v>
      </c>
      <c r="J19" s="17">
        <v>79.59</v>
      </c>
      <c r="K19" s="17">
        <v>84.295000000000002</v>
      </c>
      <c r="M19" s="19"/>
      <c r="N19" s="33" t="s">
        <v>727</v>
      </c>
      <c r="O19" s="17">
        <v>116.57</v>
      </c>
      <c r="P19" s="17">
        <v>96.86</v>
      </c>
      <c r="Q19" s="17">
        <v>106.71</v>
      </c>
      <c r="S19" s="19"/>
      <c r="T19" s="31" t="s">
        <v>728</v>
      </c>
      <c r="U19" s="17">
        <v>94.44</v>
      </c>
      <c r="V19" s="15">
        <v>102.44</v>
      </c>
      <c r="W19" s="34">
        <v>98.44</v>
      </c>
    </row>
    <row r="20" spans="1:23" ht="14.25" customHeight="1">
      <c r="A20" s="11"/>
      <c r="B20" s="11" t="s">
        <v>24</v>
      </c>
      <c r="C20" s="11">
        <v>76.63</v>
      </c>
      <c r="D20" s="30">
        <v>75.14</v>
      </c>
      <c r="E20" s="11">
        <f t="shared" si="0"/>
        <v>75.884999999999991</v>
      </c>
      <c r="G20" s="11"/>
      <c r="H20" s="31"/>
      <c r="I20" s="32"/>
      <c r="K20" s="17"/>
      <c r="M20" s="19"/>
      <c r="N20" s="33" t="s">
        <v>729</v>
      </c>
      <c r="O20" s="17">
        <v>97.62</v>
      </c>
      <c r="P20" s="17">
        <v>97.25</v>
      </c>
      <c r="Q20" s="17">
        <v>97.43</v>
      </c>
      <c r="S20" s="19"/>
      <c r="T20" s="31" t="s">
        <v>730</v>
      </c>
      <c r="U20" s="17">
        <v>75.23</v>
      </c>
      <c r="V20" s="15">
        <v>88.2</v>
      </c>
      <c r="W20" s="34">
        <v>81.72</v>
      </c>
    </row>
    <row r="21" spans="1:23" ht="14.25" customHeight="1">
      <c r="A21" s="11"/>
      <c r="B21" s="11" t="s">
        <v>25</v>
      </c>
      <c r="C21" s="11">
        <v>93.24</v>
      </c>
      <c r="D21" s="30">
        <v>89.45</v>
      </c>
      <c r="E21" s="11">
        <f t="shared" si="0"/>
        <v>91.344999999999999</v>
      </c>
      <c r="G21" s="11"/>
      <c r="H21" s="31" t="s">
        <v>731</v>
      </c>
      <c r="I21" s="32">
        <v>0.66</v>
      </c>
      <c r="J21" s="17">
        <v>78.05</v>
      </c>
      <c r="K21" s="17">
        <v>72.025000000000006</v>
      </c>
      <c r="M21" s="19"/>
      <c r="N21" s="33" t="s">
        <v>732</v>
      </c>
      <c r="O21" s="17">
        <v>91.9</v>
      </c>
      <c r="P21" s="17">
        <v>82.92</v>
      </c>
      <c r="Q21" s="17">
        <v>87.41</v>
      </c>
      <c r="S21" s="19"/>
      <c r="T21" s="31" t="s">
        <v>733</v>
      </c>
      <c r="U21" s="17">
        <v>52.66</v>
      </c>
      <c r="V21" s="15">
        <v>105.39</v>
      </c>
      <c r="W21" s="34">
        <v>79.03</v>
      </c>
    </row>
    <row r="22" spans="1:23" ht="14.25" customHeight="1">
      <c r="A22" s="11"/>
      <c r="B22" s="11" t="s">
        <v>26</v>
      </c>
      <c r="C22" s="11">
        <v>86.24</v>
      </c>
      <c r="D22" s="30">
        <v>94.3</v>
      </c>
      <c r="E22" s="11">
        <f t="shared" si="0"/>
        <v>90.27</v>
      </c>
      <c r="G22" s="11"/>
      <c r="H22" s="31" t="s">
        <v>734</v>
      </c>
      <c r="I22" s="32">
        <v>0.59</v>
      </c>
      <c r="J22" s="17">
        <v>72.31</v>
      </c>
      <c r="K22" s="17">
        <v>65.655000000000001</v>
      </c>
      <c r="M22" s="19"/>
      <c r="N22" s="33" t="s">
        <v>735</v>
      </c>
      <c r="O22" s="17">
        <v>97.97</v>
      </c>
      <c r="P22" s="17">
        <v>101.14</v>
      </c>
      <c r="Q22" s="17">
        <v>99.56</v>
      </c>
      <c r="S22" s="19"/>
      <c r="T22" s="31" t="s">
        <v>736</v>
      </c>
      <c r="U22" s="17">
        <v>97.19</v>
      </c>
      <c r="V22" s="15">
        <v>96.49</v>
      </c>
      <c r="W22" s="34">
        <v>96.84</v>
      </c>
    </row>
    <row r="23" spans="1:23" ht="14.25" customHeight="1">
      <c r="A23" s="11"/>
      <c r="B23" s="11" t="s">
        <v>27</v>
      </c>
      <c r="C23" s="11">
        <v>85.39</v>
      </c>
      <c r="D23" s="30">
        <v>92.35</v>
      </c>
      <c r="E23" s="11">
        <f t="shared" si="0"/>
        <v>88.87</v>
      </c>
      <c r="G23" s="11"/>
      <c r="H23" s="31" t="s">
        <v>737</v>
      </c>
      <c r="I23" s="32">
        <v>0.95</v>
      </c>
      <c r="J23" s="17">
        <v>107.23</v>
      </c>
      <c r="K23" s="17">
        <v>101.11499999999999</v>
      </c>
      <c r="M23" s="19"/>
      <c r="N23" s="33" t="s">
        <v>738</v>
      </c>
      <c r="O23" s="17">
        <v>112.26</v>
      </c>
      <c r="P23" s="17">
        <v>103.67</v>
      </c>
      <c r="Q23" s="17">
        <v>107.96</v>
      </c>
      <c r="S23" s="19"/>
      <c r="T23" s="31" t="s">
        <v>739</v>
      </c>
      <c r="U23" s="17">
        <v>111.01</v>
      </c>
      <c r="V23" s="15">
        <v>102.19</v>
      </c>
      <c r="W23" s="34">
        <v>106.6</v>
      </c>
    </row>
    <row r="24" spans="1:23" ht="14.25" customHeight="1">
      <c r="A24" s="11"/>
      <c r="B24" s="11" t="s">
        <v>28</v>
      </c>
      <c r="C24" s="11">
        <v>85.65</v>
      </c>
      <c r="D24" s="30">
        <v>103.39</v>
      </c>
      <c r="E24" s="11">
        <f t="shared" si="0"/>
        <v>94.52000000000001</v>
      </c>
      <c r="G24" s="11"/>
      <c r="H24" s="31" t="s">
        <v>740</v>
      </c>
      <c r="I24" s="32">
        <v>0.91</v>
      </c>
      <c r="J24" s="17">
        <v>78.31</v>
      </c>
      <c r="K24" s="17">
        <v>84.655000000000001</v>
      </c>
      <c r="M24" s="19"/>
      <c r="N24" s="33" t="s">
        <v>741</v>
      </c>
      <c r="O24" s="17">
        <v>82.4</v>
      </c>
      <c r="P24" s="17">
        <v>91.37</v>
      </c>
      <c r="Q24" s="17">
        <v>86.89</v>
      </c>
      <c r="S24" s="19"/>
      <c r="T24" s="31" t="s">
        <v>742</v>
      </c>
      <c r="U24" s="17">
        <v>104.65</v>
      </c>
      <c r="V24" s="15">
        <v>116.74</v>
      </c>
      <c r="W24" s="34">
        <v>110.7</v>
      </c>
    </row>
    <row r="25" spans="1:23" ht="14.25" customHeight="1">
      <c r="A25" s="11"/>
      <c r="B25" s="11" t="s">
        <v>29</v>
      </c>
      <c r="C25" s="11">
        <v>94.47</v>
      </c>
      <c r="D25" s="30">
        <v>97.64</v>
      </c>
      <c r="E25" s="11">
        <f t="shared" si="0"/>
        <v>96.055000000000007</v>
      </c>
      <c r="G25" s="11"/>
      <c r="H25" s="31" t="s">
        <v>743</v>
      </c>
      <c r="I25" s="32">
        <v>0.79</v>
      </c>
      <c r="J25" s="17">
        <v>93.36</v>
      </c>
      <c r="K25" s="17">
        <v>86.18</v>
      </c>
      <c r="M25" s="19"/>
      <c r="N25" s="33" t="s">
        <v>744</v>
      </c>
      <c r="O25" s="17">
        <v>105.74</v>
      </c>
      <c r="P25" s="17">
        <v>91.68</v>
      </c>
      <c r="Q25" s="17">
        <v>98.71</v>
      </c>
      <c r="S25" s="19"/>
      <c r="T25" s="31" t="s">
        <v>745</v>
      </c>
      <c r="U25" s="17">
        <v>95.16</v>
      </c>
      <c r="V25" s="15">
        <v>109.43</v>
      </c>
      <c r="W25" s="34">
        <v>102.3</v>
      </c>
    </row>
    <row r="26" spans="1:23" ht="14.25" customHeight="1">
      <c r="A26" s="11"/>
      <c r="B26" s="11" t="s">
        <v>30</v>
      </c>
      <c r="C26" s="11">
        <v>74.88</v>
      </c>
      <c r="D26" s="30">
        <v>100.28</v>
      </c>
      <c r="E26" s="11">
        <f t="shared" si="0"/>
        <v>87.58</v>
      </c>
      <c r="G26" s="11"/>
      <c r="H26" s="31" t="s">
        <v>746</v>
      </c>
      <c r="I26" s="32">
        <v>0.86</v>
      </c>
      <c r="J26" s="17">
        <v>91.71</v>
      </c>
      <c r="K26" s="17">
        <v>88.855000000000004</v>
      </c>
      <c r="M26" s="19"/>
      <c r="N26" s="33" t="s">
        <v>747</v>
      </c>
      <c r="O26" s="17">
        <v>88.48</v>
      </c>
      <c r="P26" s="17">
        <v>97.27</v>
      </c>
      <c r="Q26" s="17">
        <v>92.88</v>
      </c>
      <c r="S26" s="19"/>
      <c r="T26" s="31" t="s">
        <v>748</v>
      </c>
      <c r="U26" s="17">
        <v>72.430000000000007</v>
      </c>
      <c r="V26" s="15">
        <v>125.83</v>
      </c>
      <c r="W26" s="34">
        <v>99.13</v>
      </c>
    </row>
    <row r="27" spans="1:23" ht="14.25" customHeight="1">
      <c r="A27" s="11"/>
      <c r="B27" s="11" t="s">
        <v>31</v>
      </c>
      <c r="C27" s="11">
        <v>89.6</v>
      </c>
      <c r="D27" s="30">
        <v>83.42</v>
      </c>
      <c r="E27" s="11">
        <f t="shared" si="0"/>
        <v>86.509999999999991</v>
      </c>
      <c r="G27" s="11"/>
      <c r="H27" s="31" t="s">
        <v>749</v>
      </c>
      <c r="I27" s="32">
        <v>0.55000000000000004</v>
      </c>
      <c r="J27" s="17">
        <v>69.900000000000006</v>
      </c>
      <c r="K27" s="17">
        <v>62.45</v>
      </c>
      <c r="M27" s="19"/>
      <c r="N27" s="33" t="s">
        <v>750</v>
      </c>
      <c r="O27" s="17">
        <v>91.54</v>
      </c>
      <c r="P27" s="17">
        <v>101.48</v>
      </c>
      <c r="Q27" s="17">
        <v>96.51</v>
      </c>
      <c r="S27" s="19"/>
      <c r="T27" s="31" t="s">
        <v>751</v>
      </c>
      <c r="U27" s="17">
        <v>106.63</v>
      </c>
      <c r="V27" s="15">
        <v>107.79</v>
      </c>
      <c r="W27" s="34">
        <v>107.21</v>
      </c>
    </row>
    <row r="28" spans="1:23" ht="14.25" customHeight="1">
      <c r="A28" s="11"/>
      <c r="B28" s="11" t="s">
        <v>32</v>
      </c>
      <c r="C28" s="11">
        <v>93.91</v>
      </c>
      <c r="D28" s="30">
        <v>94</v>
      </c>
      <c r="E28" s="11">
        <f t="shared" si="0"/>
        <v>93.954999999999998</v>
      </c>
      <c r="G28" s="11"/>
      <c r="H28" s="31" t="s">
        <v>752</v>
      </c>
      <c r="I28" s="32">
        <v>0.97</v>
      </c>
      <c r="J28" s="17">
        <v>116.21</v>
      </c>
      <c r="K28" s="17">
        <v>106.605</v>
      </c>
      <c r="M28" s="19"/>
      <c r="N28" s="33" t="s">
        <v>753</v>
      </c>
      <c r="O28" s="17">
        <v>99.74</v>
      </c>
      <c r="P28" s="17">
        <v>93.13</v>
      </c>
      <c r="Q28" s="17">
        <v>96.44</v>
      </c>
      <c r="S28" s="19"/>
      <c r="T28" s="31" t="s">
        <v>754</v>
      </c>
      <c r="U28" s="17">
        <v>71.87</v>
      </c>
      <c r="V28" s="15">
        <v>547.72</v>
      </c>
      <c r="W28" s="34">
        <v>309.8</v>
      </c>
    </row>
    <row r="29" spans="1:23" ht="14.25" customHeight="1">
      <c r="A29" s="11"/>
      <c r="B29" s="11" t="s">
        <v>33</v>
      </c>
      <c r="C29" s="11">
        <v>78.98</v>
      </c>
      <c r="D29" s="30">
        <v>93.18</v>
      </c>
      <c r="E29" s="11">
        <f t="shared" si="0"/>
        <v>86.080000000000013</v>
      </c>
      <c r="G29" s="11"/>
      <c r="H29" s="31" t="s">
        <v>755</v>
      </c>
      <c r="I29" s="32">
        <v>0.68</v>
      </c>
      <c r="J29" s="17">
        <v>95.15</v>
      </c>
      <c r="K29" s="17">
        <v>81.575000000000003</v>
      </c>
      <c r="M29" s="19"/>
      <c r="N29" s="33" t="s">
        <v>756</v>
      </c>
      <c r="O29" s="17">
        <v>86.83</v>
      </c>
      <c r="P29" s="17">
        <v>97.74</v>
      </c>
      <c r="Q29" s="17">
        <v>92.29</v>
      </c>
      <c r="S29" s="19"/>
      <c r="T29" s="31" t="s">
        <v>757</v>
      </c>
      <c r="U29" s="17">
        <v>86.18</v>
      </c>
      <c r="V29" s="15">
        <v>89.04</v>
      </c>
      <c r="W29" s="34">
        <v>87.61</v>
      </c>
    </row>
    <row r="30" spans="1:23" ht="14.25" customHeight="1">
      <c r="A30" s="11"/>
      <c r="B30" s="11" t="s">
        <v>34</v>
      </c>
      <c r="C30" s="11">
        <v>81.39</v>
      </c>
      <c r="D30" s="30">
        <v>66.239999999999995</v>
      </c>
      <c r="E30" s="11">
        <f t="shared" si="0"/>
        <v>73.814999999999998</v>
      </c>
      <c r="G30" s="11"/>
      <c r="H30" s="31" t="s">
        <v>758</v>
      </c>
      <c r="I30" s="32">
        <v>0.92</v>
      </c>
      <c r="J30" s="17">
        <v>94.14</v>
      </c>
      <c r="K30" s="17">
        <v>93.07</v>
      </c>
      <c r="M30" s="19"/>
      <c r="N30" s="33" t="s">
        <v>759</v>
      </c>
      <c r="O30" s="17">
        <v>82.6</v>
      </c>
      <c r="P30" s="17">
        <v>95.07</v>
      </c>
      <c r="Q30" s="17">
        <v>88.84</v>
      </c>
      <c r="S30" s="19"/>
      <c r="T30" s="31" t="s">
        <v>760</v>
      </c>
      <c r="U30" s="17">
        <v>109.07</v>
      </c>
      <c r="V30" s="15">
        <v>96.74</v>
      </c>
      <c r="W30" s="34">
        <v>102.91</v>
      </c>
    </row>
    <row r="31" spans="1:23" ht="14.25" customHeight="1">
      <c r="A31" s="11"/>
      <c r="B31" s="11" t="s">
        <v>35</v>
      </c>
      <c r="C31" s="11">
        <v>82.28</v>
      </c>
      <c r="D31" s="30">
        <v>110.94</v>
      </c>
      <c r="E31" s="11">
        <f t="shared" si="0"/>
        <v>96.61</v>
      </c>
      <c r="G31" s="11"/>
      <c r="H31" s="31" t="s">
        <v>761</v>
      </c>
      <c r="I31" s="32">
        <v>0.85</v>
      </c>
      <c r="J31" s="17">
        <v>76.349999999999994</v>
      </c>
      <c r="K31" s="17">
        <v>80.674999999999997</v>
      </c>
      <c r="M31" s="19"/>
      <c r="N31" s="33"/>
      <c r="O31" s="35"/>
      <c r="P31" s="17"/>
      <c r="Q31" s="17"/>
      <c r="S31" s="19"/>
      <c r="T31" s="36"/>
      <c r="U31" s="17">
        <v>95.12</v>
      </c>
      <c r="V31" s="37"/>
      <c r="W31" s="34">
        <v>47.56</v>
      </c>
    </row>
    <row r="32" spans="1:23" ht="14.25" customHeight="1">
      <c r="A32" s="11"/>
      <c r="B32" s="11" t="s">
        <v>36</v>
      </c>
      <c r="C32" s="11">
        <v>77.75</v>
      </c>
      <c r="D32" s="30">
        <v>79.28</v>
      </c>
      <c r="E32" s="11">
        <f t="shared" si="0"/>
        <v>78.515000000000001</v>
      </c>
      <c r="G32" s="11"/>
      <c r="H32" s="31" t="s">
        <v>762</v>
      </c>
      <c r="I32" s="32">
        <v>0.93</v>
      </c>
      <c r="J32" s="17">
        <v>89.96</v>
      </c>
      <c r="K32" s="17">
        <v>91.48</v>
      </c>
      <c r="M32" s="19"/>
      <c r="N32" s="33" t="s">
        <v>763</v>
      </c>
      <c r="O32" s="17">
        <v>79.510000000000005</v>
      </c>
      <c r="P32" s="17">
        <v>85.27</v>
      </c>
      <c r="Q32" s="17">
        <v>82.39</v>
      </c>
      <c r="S32" s="19"/>
      <c r="T32" s="31" t="s">
        <v>764</v>
      </c>
      <c r="U32" s="17">
        <v>144.22999999999999</v>
      </c>
      <c r="V32" s="15">
        <v>92.58</v>
      </c>
      <c r="W32" s="34">
        <v>118.41</v>
      </c>
    </row>
    <row r="33" spans="1:23" ht="14.25" customHeight="1">
      <c r="A33" s="11"/>
      <c r="B33" s="11" t="s">
        <v>37</v>
      </c>
      <c r="C33" s="11">
        <v>86.58</v>
      </c>
      <c r="D33" s="30">
        <v>86.8</v>
      </c>
      <c r="E33" s="11">
        <f t="shared" si="0"/>
        <v>86.69</v>
      </c>
      <c r="G33" s="11"/>
      <c r="H33" s="31" t="s">
        <v>765</v>
      </c>
      <c r="I33" s="32">
        <v>0.97</v>
      </c>
      <c r="J33" s="17">
        <v>93.84</v>
      </c>
      <c r="K33" s="17">
        <v>95.42</v>
      </c>
      <c r="M33" s="19"/>
      <c r="N33" s="33" t="s">
        <v>766</v>
      </c>
      <c r="O33" s="17">
        <v>94.11</v>
      </c>
      <c r="P33" s="17">
        <v>89.44</v>
      </c>
      <c r="Q33" s="17">
        <v>91.78</v>
      </c>
      <c r="S33" s="19"/>
      <c r="T33" s="31" t="s">
        <v>767</v>
      </c>
      <c r="U33" s="17">
        <v>82.12</v>
      </c>
      <c r="V33" s="15">
        <v>110.41</v>
      </c>
      <c r="W33" s="34">
        <v>96.27</v>
      </c>
    </row>
    <row r="34" spans="1:23" ht="14.25" customHeight="1">
      <c r="A34" s="11"/>
      <c r="B34" s="11" t="s">
        <v>38</v>
      </c>
      <c r="C34" s="11">
        <v>84.51</v>
      </c>
      <c r="D34" s="30">
        <v>89.31</v>
      </c>
      <c r="E34" s="11">
        <f t="shared" si="0"/>
        <v>86.91</v>
      </c>
      <c r="G34" s="11"/>
      <c r="H34" s="31" t="s">
        <v>768</v>
      </c>
      <c r="I34" s="32">
        <v>0.83</v>
      </c>
      <c r="J34" s="17">
        <v>85.15</v>
      </c>
      <c r="K34" s="17">
        <v>84.075000000000003</v>
      </c>
      <c r="M34" s="19"/>
      <c r="N34" s="33" t="s">
        <v>769</v>
      </c>
      <c r="O34" s="17">
        <v>96.05</v>
      </c>
      <c r="P34" s="17">
        <v>98.79</v>
      </c>
      <c r="Q34" s="17">
        <v>97.42</v>
      </c>
      <c r="S34" s="19"/>
      <c r="T34" s="31" t="s">
        <v>770</v>
      </c>
      <c r="U34" s="17">
        <v>97.24</v>
      </c>
      <c r="V34" s="15">
        <v>105.81</v>
      </c>
      <c r="W34" s="34">
        <v>101.53</v>
      </c>
    </row>
    <row r="35" spans="1:23" ht="14.25" customHeight="1">
      <c r="A35" s="11"/>
      <c r="B35" s="11" t="s">
        <v>39</v>
      </c>
      <c r="C35" s="11">
        <v>94.78</v>
      </c>
      <c r="D35" s="30">
        <v>103.55</v>
      </c>
      <c r="E35" s="11">
        <f t="shared" si="0"/>
        <v>99.164999999999992</v>
      </c>
      <c r="G35" s="11"/>
      <c r="H35" s="31" t="s">
        <v>771</v>
      </c>
      <c r="I35" s="32">
        <v>0.82</v>
      </c>
      <c r="J35" s="17">
        <v>88.82</v>
      </c>
      <c r="K35" s="17">
        <v>85.41</v>
      </c>
      <c r="M35" s="19"/>
      <c r="N35" s="33" t="s">
        <v>772</v>
      </c>
      <c r="O35" s="17">
        <v>82.36</v>
      </c>
      <c r="P35" s="17">
        <v>102.52</v>
      </c>
      <c r="Q35" s="17">
        <v>92.44</v>
      </c>
      <c r="S35" s="19"/>
      <c r="T35" s="31" t="s">
        <v>773</v>
      </c>
      <c r="U35" s="17">
        <v>88.7</v>
      </c>
      <c r="V35" s="15">
        <v>116.11</v>
      </c>
      <c r="W35" s="34">
        <v>102.41</v>
      </c>
    </row>
    <row r="36" spans="1:23" ht="14.25" customHeight="1">
      <c r="A36" s="11"/>
      <c r="B36" s="11" t="s">
        <v>40</v>
      </c>
      <c r="C36" s="11">
        <v>94.3</v>
      </c>
      <c r="D36" s="30">
        <v>96.51</v>
      </c>
      <c r="E36" s="11">
        <f t="shared" si="0"/>
        <v>95.405000000000001</v>
      </c>
      <c r="G36" s="11"/>
      <c r="H36" s="31" t="s">
        <v>774</v>
      </c>
      <c r="I36" s="32">
        <v>0.63</v>
      </c>
      <c r="J36" s="17">
        <v>88.15</v>
      </c>
      <c r="K36" s="17">
        <v>75.575000000000003</v>
      </c>
      <c r="M36" s="19"/>
      <c r="N36" s="33" t="s">
        <v>775</v>
      </c>
      <c r="O36" s="17">
        <v>77.98</v>
      </c>
      <c r="P36" s="17">
        <v>80.44</v>
      </c>
      <c r="Q36" s="17">
        <v>79.209999999999994</v>
      </c>
      <c r="S36" s="19"/>
      <c r="T36" s="31" t="s">
        <v>776</v>
      </c>
      <c r="U36" s="17">
        <v>112.79</v>
      </c>
      <c r="V36" s="15">
        <v>138.63999999999999</v>
      </c>
      <c r="W36" s="34">
        <v>125.72</v>
      </c>
    </row>
    <row r="37" spans="1:23" ht="14.25" customHeight="1">
      <c r="A37" s="11"/>
      <c r="B37" s="11" t="s">
        <v>41</v>
      </c>
      <c r="C37" s="11">
        <v>90.11</v>
      </c>
      <c r="D37" s="30">
        <v>90.88</v>
      </c>
      <c r="E37" s="11">
        <f t="shared" si="0"/>
        <v>90.495000000000005</v>
      </c>
      <c r="G37" s="11"/>
      <c r="H37" s="31" t="s">
        <v>777</v>
      </c>
      <c r="I37" s="32">
        <v>0.62</v>
      </c>
      <c r="J37" s="17">
        <v>65.91</v>
      </c>
      <c r="K37" s="17">
        <v>63.954999999999998</v>
      </c>
      <c r="M37" s="19"/>
      <c r="N37" s="33" t="s">
        <v>778</v>
      </c>
      <c r="O37" s="17">
        <v>107.3</v>
      </c>
      <c r="P37" s="17">
        <v>104.48</v>
      </c>
      <c r="Q37" s="17">
        <v>105.89</v>
      </c>
      <c r="S37" s="19"/>
      <c r="T37" s="31" t="s">
        <v>779</v>
      </c>
      <c r="U37" s="17">
        <v>80.099999999999994</v>
      </c>
      <c r="V37" s="15">
        <v>115.55</v>
      </c>
      <c r="W37" s="34">
        <v>97.83</v>
      </c>
    </row>
    <row r="38" spans="1:23" ht="14.25" customHeight="1">
      <c r="A38" s="11"/>
      <c r="B38" s="11" t="s">
        <v>42</v>
      </c>
      <c r="C38" s="11">
        <v>81.650000000000006</v>
      </c>
      <c r="D38" s="30">
        <v>88.45</v>
      </c>
      <c r="E38" s="11">
        <f t="shared" si="0"/>
        <v>85.050000000000011</v>
      </c>
      <c r="G38" s="11"/>
      <c r="H38" s="31" t="s">
        <v>780</v>
      </c>
      <c r="I38" s="32">
        <v>0.8</v>
      </c>
      <c r="J38" s="17">
        <v>103.39</v>
      </c>
      <c r="K38" s="17">
        <v>91.694999999999993</v>
      </c>
      <c r="M38" s="19"/>
      <c r="N38" s="33" t="s">
        <v>781</v>
      </c>
      <c r="O38" s="17">
        <v>96.67</v>
      </c>
      <c r="P38" s="17">
        <v>87.58</v>
      </c>
      <c r="Q38" s="17">
        <v>92.13</v>
      </c>
      <c r="S38" s="19"/>
      <c r="T38" s="31" t="s">
        <v>782</v>
      </c>
      <c r="U38" s="17">
        <v>74.319999999999993</v>
      </c>
      <c r="V38" s="15">
        <v>84.21</v>
      </c>
      <c r="W38" s="34">
        <v>79.27</v>
      </c>
    </row>
    <row r="39" spans="1:23" ht="14.25" customHeight="1">
      <c r="A39" s="11"/>
      <c r="B39" s="11" t="s">
        <v>43</v>
      </c>
      <c r="C39" s="11">
        <v>73.92</v>
      </c>
      <c r="D39" s="30">
        <v>92.31</v>
      </c>
      <c r="E39" s="11">
        <f t="shared" si="0"/>
        <v>83.115000000000009</v>
      </c>
      <c r="G39" s="11"/>
      <c r="H39" s="31" t="s">
        <v>783</v>
      </c>
      <c r="I39" s="32">
        <v>0.78</v>
      </c>
      <c r="J39" s="17">
        <v>74.39</v>
      </c>
      <c r="K39" s="17">
        <v>76.194999999999993</v>
      </c>
      <c r="M39" s="19"/>
      <c r="N39" s="33" t="s">
        <v>784</v>
      </c>
      <c r="O39" s="17">
        <v>93.01</v>
      </c>
      <c r="P39" s="17">
        <v>101.93</v>
      </c>
      <c r="Q39" s="17">
        <v>97.47</v>
      </c>
      <c r="S39" s="19"/>
      <c r="T39" s="31" t="s">
        <v>785</v>
      </c>
      <c r="U39" s="17">
        <v>126.56</v>
      </c>
      <c r="V39" s="15">
        <v>99.47</v>
      </c>
      <c r="W39" s="34">
        <v>113.02</v>
      </c>
    </row>
    <row r="40" spans="1:23" ht="14.25" customHeight="1">
      <c r="A40" s="11"/>
      <c r="B40" s="11" t="s">
        <v>44</v>
      </c>
      <c r="C40" s="11">
        <v>81.09</v>
      </c>
      <c r="D40" s="30">
        <v>83.67</v>
      </c>
      <c r="E40" s="11">
        <f t="shared" si="0"/>
        <v>82.38</v>
      </c>
      <c r="G40" s="11"/>
      <c r="H40" s="31" t="s">
        <v>786</v>
      </c>
      <c r="I40" s="32">
        <v>0.91</v>
      </c>
      <c r="J40" s="17">
        <v>102.69</v>
      </c>
      <c r="K40" s="17">
        <v>96.844999999999999</v>
      </c>
      <c r="M40" s="19"/>
      <c r="N40" s="33" t="s">
        <v>787</v>
      </c>
      <c r="O40" s="17">
        <v>105.6</v>
      </c>
      <c r="P40" s="17">
        <v>93.38</v>
      </c>
      <c r="Q40" s="17">
        <v>99.49</v>
      </c>
      <c r="S40" s="19"/>
      <c r="T40" s="31" t="s">
        <v>788</v>
      </c>
      <c r="U40" s="17">
        <v>83.82</v>
      </c>
      <c r="V40" s="15">
        <v>92.28</v>
      </c>
      <c r="W40" s="34">
        <v>88.05</v>
      </c>
    </row>
    <row r="41" spans="1:23" ht="14.25" customHeight="1">
      <c r="A41" s="11"/>
      <c r="B41" s="11" t="s">
        <v>45</v>
      </c>
      <c r="C41" s="11">
        <v>69.739999999999995</v>
      </c>
      <c r="D41" s="30">
        <v>88.24</v>
      </c>
      <c r="E41" s="11">
        <f t="shared" si="0"/>
        <v>78.989999999999995</v>
      </c>
      <c r="G41" s="11"/>
      <c r="H41" s="31" t="s">
        <v>789</v>
      </c>
      <c r="I41" s="32">
        <v>0.85</v>
      </c>
      <c r="J41" s="17">
        <v>94.31</v>
      </c>
      <c r="K41" s="17">
        <v>89.655000000000001</v>
      </c>
      <c r="M41" s="19"/>
      <c r="N41" s="33" t="s">
        <v>790</v>
      </c>
      <c r="O41" s="17">
        <v>93.49</v>
      </c>
      <c r="P41" s="17">
        <v>91.2</v>
      </c>
      <c r="Q41" s="17">
        <v>92.34</v>
      </c>
      <c r="S41" s="19"/>
      <c r="T41" s="31" t="s">
        <v>791</v>
      </c>
      <c r="U41" s="17">
        <v>60.81</v>
      </c>
      <c r="V41" s="15">
        <v>60.42</v>
      </c>
      <c r="W41" s="34">
        <v>60.62</v>
      </c>
    </row>
    <row r="42" spans="1:23" ht="14.25" customHeight="1">
      <c r="A42" s="11"/>
      <c r="B42" s="11" t="s">
        <v>46</v>
      </c>
      <c r="C42" s="11">
        <v>119.19</v>
      </c>
      <c r="D42" s="30">
        <v>96.3</v>
      </c>
      <c r="E42" s="11">
        <f t="shared" si="0"/>
        <v>107.745</v>
      </c>
      <c r="G42" s="11"/>
      <c r="H42" s="31" t="s">
        <v>792</v>
      </c>
      <c r="I42" s="32">
        <v>0.91</v>
      </c>
      <c r="J42" s="17">
        <v>96.25</v>
      </c>
      <c r="K42" s="17">
        <v>93.625</v>
      </c>
      <c r="M42" s="19"/>
      <c r="N42" s="33" t="s">
        <v>793</v>
      </c>
      <c r="O42" s="17">
        <v>112.56</v>
      </c>
      <c r="P42" s="17">
        <v>117.74</v>
      </c>
      <c r="Q42" s="17">
        <v>115.15</v>
      </c>
      <c r="S42" s="19"/>
      <c r="T42" s="31" t="s">
        <v>794</v>
      </c>
      <c r="U42" s="17">
        <v>103.26</v>
      </c>
      <c r="V42" s="15">
        <v>107.82</v>
      </c>
      <c r="W42" s="34">
        <v>105.54</v>
      </c>
    </row>
    <row r="43" spans="1:23" ht="14.25" customHeight="1">
      <c r="A43" s="11"/>
      <c r="B43" s="11" t="s">
        <v>47</v>
      </c>
      <c r="C43" s="11">
        <v>89.87</v>
      </c>
      <c r="D43" s="30">
        <v>108.67</v>
      </c>
      <c r="E43" s="11">
        <f t="shared" si="0"/>
        <v>99.27000000000001</v>
      </c>
      <c r="G43" s="11"/>
      <c r="H43" s="31" t="s">
        <v>795</v>
      </c>
      <c r="I43" s="32">
        <v>0.82</v>
      </c>
      <c r="J43" s="17">
        <v>79.62</v>
      </c>
      <c r="K43" s="17">
        <v>80.81</v>
      </c>
      <c r="M43" s="19"/>
      <c r="N43" s="33" t="s">
        <v>796</v>
      </c>
      <c r="O43" s="17">
        <v>107.96</v>
      </c>
      <c r="P43" s="17">
        <v>99.68</v>
      </c>
      <c r="Q43" s="17">
        <v>103.82</v>
      </c>
      <c r="S43" s="19"/>
      <c r="T43" s="31" t="s">
        <v>797</v>
      </c>
      <c r="U43" s="17">
        <v>85.71</v>
      </c>
      <c r="V43" s="15">
        <v>95.19</v>
      </c>
      <c r="W43" s="34">
        <v>90.45</v>
      </c>
    </row>
    <row r="44" spans="1:23" ht="14.25" customHeight="1">
      <c r="A44" s="11"/>
      <c r="B44" s="11" t="s">
        <v>48</v>
      </c>
      <c r="C44" s="11">
        <v>91.52</v>
      </c>
      <c r="D44" s="30">
        <v>99.91</v>
      </c>
      <c r="E44" s="11">
        <f t="shared" si="0"/>
        <v>95.715000000000003</v>
      </c>
      <c r="G44" s="11"/>
      <c r="H44" s="31" t="s">
        <v>798</v>
      </c>
      <c r="I44" s="32">
        <v>0.81</v>
      </c>
      <c r="J44" s="17">
        <v>89.11</v>
      </c>
      <c r="K44" s="17">
        <v>85.055000000000007</v>
      </c>
      <c r="M44" s="19"/>
      <c r="N44" s="33" t="s">
        <v>799</v>
      </c>
      <c r="O44" s="17">
        <v>72.5</v>
      </c>
      <c r="P44" s="17">
        <v>115.25</v>
      </c>
      <c r="Q44" s="17">
        <v>93.88</v>
      </c>
      <c r="S44" s="19"/>
      <c r="T44" s="31" t="s">
        <v>800</v>
      </c>
      <c r="U44" s="17">
        <v>138.36000000000001</v>
      </c>
      <c r="V44" s="15">
        <v>102.78</v>
      </c>
      <c r="W44" s="34">
        <v>120.57</v>
      </c>
    </row>
    <row r="45" spans="1:23" ht="14.25" customHeight="1">
      <c r="A45" s="11"/>
      <c r="B45" s="11" t="s">
        <v>49</v>
      </c>
      <c r="C45" s="11">
        <v>123.06</v>
      </c>
      <c r="D45" s="30">
        <v>75.14</v>
      </c>
      <c r="E45" s="11">
        <f t="shared" si="0"/>
        <v>99.1</v>
      </c>
      <c r="G45" s="11"/>
      <c r="H45" s="31" t="s">
        <v>801</v>
      </c>
      <c r="I45" s="32">
        <v>0.96</v>
      </c>
      <c r="J45" s="17">
        <v>99.79</v>
      </c>
      <c r="K45" s="17">
        <v>97.894999999999996</v>
      </c>
      <c r="M45" s="19"/>
      <c r="N45" s="33" t="s">
        <v>802</v>
      </c>
      <c r="O45" s="17">
        <v>95.99</v>
      </c>
      <c r="P45" s="17">
        <v>88.32</v>
      </c>
      <c r="Q45" s="17">
        <v>92.15</v>
      </c>
      <c r="S45" s="19"/>
      <c r="T45" s="31" t="s">
        <v>803</v>
      </c>
      <c r="U45" s="17">
        <v>74.11</v>
      </c>
      <c r="V45" s="15">
        <v>104.96</v>
      </c>
      <c r="W45" s="34">
        <v>89.54</v>
      </c>
    </row>
    <row r="46" spans="1:23" ht="14.25" customHeight="1">
      <c r="A46" s="11"/>
      <c r="B46" s="11" t="s">
        <v>50</v>
      </c>
      <c r="C46" s="11">
        <v>88.74</v>
      </c>
      <c r="D46" s="30">
        <v>92.03</v>
      </c>
      <c r="E46" s="11">
        <f t="shared" si="0"/>
        <v>90.384999999999991</v>
      </c>
      <c r="G46" s="11"/>
      <c r="H46" s="31" t="s">
        <v>804</v>
      </c>
      <c r="I46" s="32">
        <v>0.92</v>
      </c>
      <c r="J46" s="17">
        <v>99.07</v>
      </c>
      <c r="K46" s="17">
        <v>95.534999999999997</v>
      </c>
      <c r="M46" s="19"/>
      <c r="N46" s="33" t="s">
        <v>805</v>
      </c>
      <c r="O46" s="17">
        <v>92.66</v>
      </c>
      <c r="P46" s="17">
        <v>88.61</v>
      </c>
      <c r="Q46" s="17">
        <v>90.63</v>
      </c>
      <c r="S46" s="19"/>
      <c r="T46" s="31" t="s">
        <v>806</v>
      </c>
      <c r="U46" s="17">
        <v>83.57</v>
      </c>
      <c r="V46" s="15">
        <v>80.81</v>
      </c>
      <c r="W46" s="34">
        <v>82.19</v>
      </c>
    </row>
    <row r="47" spans="1:23" ht="14.25" customHeight="1">
      <c r="A47" s="11"/>
      <c r="B47" s="11" t="s">
        <v>51</v>
      </c>
      <c r="C47" s="11">
        <v>97.24</v>
      </c>
      <c r="D47" s="30">
        <v>96</v>
      </c>
      <c r="E47" s="11">
        <f t="shared" si="0"/>
        <v>96.62</v>
      </c>
      <c r="G47" s="11"/>
      <c r="H47" s="31" t="s">
        <v>807</v>
      </c>
      <c r="I47" s="32">
        <v>0.83</v>
      </c>
      <c r="J47" s="17">
        <v>99.21</v>
      </c>
      <c r="K47" s="17">
        <v>91.105000000000004</v>
      </c>
      <c r="M47" s="19"/>
      <c r="N47" s="33" t="s">
        <v>808</v>
      </c>
      <c r="O47" s="17">
        <v>85.26</v>
      </c>
      <c r="P47" s="17">
        <v>81.38</v>
      </c>
      <c r="Q47" s="17">
        <v>83.32</v>
      </c>
      <c r="S47" s="19"/>
      <c r="T47" s="31" t="s">
        <v>809</v>
      </c>
      <c r="U47" s="17">
        <v>94.58</v>
      </c>
      <c r="V47" s="15">
        <v>124.62</v>
      </c>
      <c r="W47" s="34">
        <v>109.6</v>
      </c>
    </row>
    <row r="48" spans="1:23" ht="14.25" customHeight="1">
      <c r="A48" s="11"/>
      <c r="B48" s="11" t="s">
        <v>52</v>
      </c>
      <c r="C48" s="11">
        <v>126.2</v>
      </c>
      <c r="D48" s="30">
        <v>90.31</v>
      </c>
      <c r="E48" s="11">
        <f t="shared" si="0"/>
        <v>108.255</v>
      </c>
      <c r="G48" s="11"/>
      <c r="H48" s="31" t="s">
        <v>810</v>
      </c>
      <c r="I48" s="32">
        <v>0.89</v>
      </c>
      <c r="J48" s="17">
        <v>97.83</v>
      </c>
      <c r="K48" s="17">
        <v>93.415000000000006</v>
      </c>
      <c r="M48" s="19"/>
      <c r="N48" s="33" t="s">
        <v>811</v>
      </c>
      <c r="O48" s="17">
        <v>104.94</v>
      </c>
      <c r="P48" s="17">
        <v>100.82</v>
      </c>
      <c r="Q48" s="17">
        <v>102.88</v>
      </c>
      <c r="S48" s="19"/>
      <c r="T48" s="31" t="s">
        <v>812</v>
      </c>
      <c r="U48" s="17">
        <v>117.64</v>
      </c>
      <c r="V48" s="15">
        <v>90.96</v>
      </c>
      <c r="W48" s="34">
        <v>104.3</v>
      </c>
    </row>
    <row r="49" spans="1:23" ht="14.25" customHeight="1">
      <c r="A49" s="11"/>
      <c r="B49" s="11" t="s">
        <v>53</v>
      </c>
      <c r="C49" s="11">
        <v>76.09</v>
      </c>
      <c r="D49" s="30">
        <v>93.94</v>
      </c>
      <c r="E49" s="11">
        <f t="shared" si="0"/>
        <v>85.015000000000001</v>
      </c>
      <c r="G49" s="11"/>
      <c r="H49" s="31" t="s">
        <v>813</v>
      </c>
      <c r="I49" s="32">
        <v>0.62</v>
      </c>
      <c r="J49" s="17">
        <v>62.51</v>
      </c>
      <c r="K49" s="17">
        <v>62.255000000000003</v>
      </c>
      <c r="M49" s="19"/>
      <c r="N49" s="33" t="s">
        <v>814</v>
      </c>
      <c r="O49" s="17">
        <v>77.180000000000007</v>
      </c>
      <c r="P49" s="17">
        <v>89.58</v>
      </c>
      <c r="Q49" s="17">
        <v>83.38</v>
      </c>
      <c r="S49" s="19"/>
      <c r="T49" s="31" t="s">
        <v>815</v>
      </c>
      <c r="U49" s="17">
        <v>102.33</v>
      </c>
      <c r="V49" s="15">
        <v>94.81</v>
      </c>
      <c r="W49" s="34">
        <v>98.57</v>
      </c>
    </row>
    <row r="50" spans="1:23" ht="14.25" customHeight="1">
      <c r="A50" s="11"/>
      <c r="B50" s="11" t="s">
        <v>54</v>
      </c>
      <c r="C50" s="11">
        <v>83.46</v>
      </c>
      <c r="D50" s="30">
        <v>83.45</v>
      </c>
      <c r="E50" s="11">
        <f t="shared" si="0"/>
        <v>83.454999999999998</v>
      </c>
      <c r="G50" s="11"/>
      <c r="H50" s="31" t="s">
        <v>816</v>
      </c>
      <c r="I50" s="32">
        <v>0.79</v>
      </c>
      <c r="J50" s="17">
        <v>66.3</v>
      </c>
      <c r="K50" s="17">
        <v>72.650000000000006</v>
      </c>
      <c r="M50" s="19"/>
      <c r="N50" s="33" t="s">
        <v>817</v>
      </c>
      <c r="O50" s="17">
        <v>75.97</v>
      </c>
      <c r="P50" s="17">
        <v>292.18</v>
      </c>
      <c r="Q50" s="17">
        <v>184.07</v>
      </c>
      <c r="S50" s="19"/>
      <c r="T50" s="31" t="s">
        <v>818</v>
      </c>
      <c r="U50" s="17">
        <v>73.430000000000007</v>
      </c>
      <c r="V50" s="15">
        <v>95.01</v>
      </c>
      <c r="W50" s="34">
        <v>84.22</v>
      </c>
    </row>
    <row r="51" spans="1:23" ht="14.25" customHeight="1">
      <c r="A51" s="11"/>
      <c r="B51" s="11" t="s">
        <v>55</v>
      </c>
      <c r="C51" s="11">
        <v>121.88</v>
      </c>
      <c r="D51" s="30">
        <v>104.94</v>
      </c>
      <c r="E51" s="11">
        <f t="shared" si="0"/>
        <v>113.41</v>
      </c>
      <c r="G51" s="11"/>
      <c r="H51" s="31" t="s">
        <v>819</v>
      </c>
      <c r="I51" s="32">
        <v>0.75</v>
      </c>
      <c r="J51" s="17">
        <v>89.13</v>
      </c>
      <c r="K51" s="17">
        <v>82.064999999999998</v>
      </c>
      <c r="M51" s="19"/>
      <c r="N51" s="33" t="s">
        <v>820</v>
      </c>
      <c r="O51" s="17">
        <v>90.61</v>
      </c>
      <c r="P51" s="17">
        <v>108.72</v>
      </c>
      <c r="Q51" s="17">
        <v>99.66</v>
      </c>
      <c r="S51" s="19"/>
      <c r="T51" s="31" t="s">
        <v>821</v>
      </c>
      <c r="U51" s="17">
        <v>55.54</v>
      </c>
      <c r="V51" s="15">
        <v>124.79</v>
      </c>
      <c r="W51" s="34">
        <v>90.17</v>
      </c>
    </row>
    <row r="52" spans="1:23" ht="14.25" customHeight="1">
      <c r="A52" s="11"/>
      <c r="B52" s="11" t="s">
        <v>56</v>
      </c>
      <c r="C52" s="11">
        <v>95.42</v>
      </c>
      <c r="D52" s="30">
        <v>86.52</v>
      </c>
      <c r="E52" s="11">
        <f t="shared" si="0"/>
        <v>90.97</v>
      </c>
      <c r="G52" s="11"/>
      <c r="H52" s="31" t="s">
        <v>822</v>
      </c>
      <c r="I52" s="32">
        <v>0.62</v>
      </c>
      <c r="J52" s="17">
        <v>65.73</v>
      </c>
      <c r="K52" s="17">
        <v>63.865000000000002</v>
      </c>
      <c r="M52" s="19"/>
      <c r="N52" s="33" t="s">
        <v>823</v>
      </c>
      <c r="O52" s="17">
        <v>88.87</v>
      </c>
      <c r="P52" s="17">
        <v>96.17</v>
      </c>
      <c r="Q52" s="17">
        <v>92.52</v>
      </c>
      <c r="S52" s="19"/>
      <c r="T52" s="31" t="s">
        <v>824</v>
      </c>
      <c r="U52" s="17">
        <v>86.71</v>
      </c>
      <c r="V52" s="15">
        <v>97.04</v>
      </c>
      <c r="W52" s="34">
        <v>91.88</v>
      </c>
    </row>
    <row r="53" spans="1:23" ht="14.25" customHeight="1">
      <c r="A53" s="11"/>
      <c r="B53" s="11" t="s">
        <v>57</v>
      </c>
      <c r="C53" s="11">
        <v>96.84</v>
      </c>
      <c r="D53" s="30">
        <v>103.26</v>
      </c>
      <c r="E53" s="11">
        <f t="shared" si="0"/>
        <v>100.05000000000001</v>
      </c>
      <c r="G53" s="11"/>
      <c r="H53" s="31" t="s">
        <v>825</v>
      </c>
      <c r="I53" s="32">
        <v>0.7</v>
      </c>
      <c r="J53" s="17">
        <v>91.59</v>
      </c>
      <c r="K53" s="17">
        <v>80.795000000000002</v>
      </c>
      <c r="M53" s="19"/>
      <c r="N53" s="33" t="s">
        <v>826</v>
      </c>
      <c r="O53" s="17">
        <v>104.3</v>
      </c>
      <c r="P53" s="17">
        <v>96.53</v>
      </c>
      <c r="Q53" s="17">
        <v>100.41</v>
      </c>
      <c r="S53" s="19"/>
      <c r="T53" s="31" t="s">
        <v>827</v>
      </c>
      <c r="U53" s="17">
        <v>101.66</v>
      </c>
      <c r="V53" s="15">
        <v>88.6</v>
      </c>
      <c r="W53" s="34">
        <v>95.13</v>
      </c>
    </row>
    <row r="54" spans="1:23" ht="14.25" customHeight="1">
      <c r="A54" s="11"/>
      <c r="B54" s="11" t="s">
        <v>58</v>
      </c>
      <c r="C54" s="11">
        <v>86.36</v>
      </c>
      <c r="D54" s="30">
        <v>105.67</v>
      </c>
      <c r="E54" s="11">
        <f t="shared" si="0"/>
        <v>96.015000000000001</v>
      </c>
      <c r="G54" s="19"/>
      <c r="H54" s="31" t="s">
        <v>828</v>
      </c>
      <c r="I54" s="32">
        <v>0.86</v>
      </c>
      <c r="J54" s="17">
        <v>94.5</v>
      </c>
      <c r="K54" s="17">
        <v>90.25</v>
      </c>
      <c r="M54" s="19"/>
      <c r="N54" s="33" t="s">
        <v>829</v>
      </c>
      <c r="O54" s="17">
        <v>95.51</v>
      </c>
      <c r="P54" s="17">
        <v>107.5</v>
      </c>
      <c r="Q54" s="17">
        <v>101.5</v>
      </c>
      <c r="S54" s="19"/>
      <c r="T54" s="31" t="s">
        <v>830</v>
      </c>
      <c r="U54" s="17">
        <v>82.28</v>
      </c>
      <c r="V54" s="15">
        <v>103.33</v>
      </c>
      <c r="W54" s="34">
        <v>92.81</v>
      </c>
    </row>
    <row r="55" spans="1:23" ht="14.25" customHeight="1">
      <c r="A55" s="11"/>
      <c r="B55" s="11" t="s">
        <v>59</v>
      </c>
      <c r="C55" s="11">
        <v>80.510000000000005</v>
      </c>
      <c r="D55" s="30">
        <v>97.82</v>
      </c>
      <c r="E55" s="11">
        <f t="shared" si="0"/>
        <v>89.164999999999992</v>
      </c>
      <c r="G55" s="19"/>
      <c r="H55" s="31" t="s">
        <v>831</v>
      </c>
      <c r="I55" s="32">
        <v>0.68</v>
      </c>
      <c r="J55" s="17">
        <v>80.849999999999994</v>
      </c>
      <c r="K55" s="17">
        <v>74.424999999999997</v>
      </c>
      <c r="M55" s="19"/>
      <c r="N55" s="33" t="s">
        <v>832</v>
      </c>
      <c r="O55" s="17">
        <v>73.58</v>
      </c>
      <c r="P55" s="17">
        <v>95.23</v>
      </c>
      <c r="Q55" s="17">
        <v>84.4</v>
      </c>
      <c r="S55" s="19"/>
      <c r="T55" s="31" t="s">
        <v>833</v>
      </c>
      <c r="U55" s="17">
        <v>113.83</v>
      </c>
      <c r="V55" s="15">
        <v>103.9</v>
      </c>
      <c r="W55" s="34">
        <v>108.87</v>
      </c>
    </row>
    <row r="56" spans="1:23" ht="14.25" customHeight="1">
      <c r="A56" s="11"/>
      <c r="B56" s="11" t="s">
        <v>60</v>
      </c>
      <c r="C56" s="11">
        <v>74.489999999999995</v>
      </c>
      <c r="D56" s="30">
        <v>80.150000000000006</v>
      </c>
      <c r="E56" s="11">
        <f t="shared" si="0"/>
        <v>77.319999999999993</v>
      </c>
      <c r="G56" s="19"/>
      <c r="H56" s="31" t="s">
        <v>834</v>
      </c>
      <c r="I56" s="32">
        <v>0.88</v>
      </c>
      <c r="J56" s="17">
        <v>88.62</v>
      </c>
      <c r="K56" s="17">
        <v>88.31</v>
      </c>
      <c r="M56" s="19"/>
      <c r="N56" s="33" t="s">
        <v>835</v>
      </c>
      <c r="O56" s="17">
        <v>112.79</v>
      </c>
      <c r="P56" s="17">
        <v>90.57</v>
      </c>
      <c r="Q56" s="17">
        <v>101.68</v>
      </c>
      <c r="S56" s="19"/>
      <c r="T56" s="31" t="s">
        <v>836</v>
      </c>
      <c r="U56" s="17">
        <v>111.87</v>
      </c>
      <c r="V56" s="15">
        <v>101.03</v>
      </c>
      <c r="W56" s="34">
        <v>106.45</v>
      </c>
    </row>
    <row r="57" spans="1:23" ht="14.25" customHeight="1">
      <c r="A57" s="11"/>
      <c r="B57" s="11" t="s">
        <v>61</v>
      </c>
      <c r="C57" s="11">
        <v>78.61</v>
      </c>
      <c r="D57" s="30">
        <v>72.540000000000006</v>
      </c>
      <c r="E57" s="11">
        <f t="shared" si="0"/>
        <v>75.575000000000003</v>
      </c>
      <c r="G57" s="19"/>
      <c r="H57" s="31" t="s">
        <v>837</v>
      </c>
      <c r="I57" s="32">
        <v>0.85</v>
      </c>
      <c r="J57" s="17">
        <v>91.04</v>
      </c>
      <c r="K57" s="17">
        <v>88.02</v>
      </c>
      <c r="M57" s="19"/>
      <c r="N57" s="33" t="s">
        <v>838</v>
      </c>
      <c r="O57" s="17">
        <v>80.03</v>
      </c>
      <c r="P57" s="17">
        <v>86.16</v>
      </c>
      <c r="Q57" s="17">
        <v>83.1</v>
      </c>
      <c r="S57" s="19"/>
      <c r="T57" s="31" t="s">
        <v>839</v>
      </c>
      <c r="U57" s="17">
        <v>99.74</v>
      </c>
      <c r="V57" s="15">
        <v>115.35</v>
      </c>
      <c r="W57" s="34">
        <v>107.55</v>
      </c>
    </row>
    <row r="58" spans="1:23" ht="14.25" customHeight="1">
      <c r="A58" s="11"/>
      <c r="B58" s="11" t="s">
        <v>62</v>
      </c>
      <c r="C58" s="11">
        <v>68.92</v>
      </c>
      <c r="D58" s="30">
        <v>92.87</v>
      </c>
      <c r="E58" s="11">
        <f t="shared" si="0"/>
        <v>80.89500000000001</v>
      </c>
      <c r="G58" s="19"/>
      <c r="H58" s="31" t="s">
        <v>840</v>
      </c>
      <c r="I58" s="32">
        <v>0.99</v>
      </c>
      <c r="J58" s="17">
        <v>104.06</v>
      </c>
      <c r="K58" s="17">
        <v>101.53</v>
      </c>
      <c r="M58" s="19"/>
      <c r="N58" s="33" t="s">
        <v>841</v>
      </c>
      <c r="O58" s="17">
        <v>97.2</v>
      </c>
      <c r="P58" s="17">
        <v>103.42</v>
      </c>
      <c r="Q58" s="17">
        <v>100.31</v>
      </c>
      <c r="S58" s="19"/>
      <c r="T58" s="31" t="s">
        <v>842</v>
      </c>
      <c r="U58" s="17">
        <v>99.86</v>
      </c>
      <c r="V58" s="15">
        <v>96.66</v>
      </c>
      <c r="W58" s="34">
        <v>98.26</v>
      </c>
    </row>
    <row r="59" spans="1:23" ht="14.25" customHeight="1">
      <c r="A59" s="11"/>
      <c r="B59" s="11" t="s">
        <v>63</v>
      </c>
      <c r="C59" s="11">
        <v>87.65</v>
      </c>
      <c r="D59" s="30">
        <v>85.94</v>
      </c>
      <c r="E59" s="11">
        <f t="shared" si="0"/>
        <v>86.795000000000002</v>
      </c>
      <c r="G59" s="19"/>
      <c r="H59" s="31" t="s">
        <v>843</v>
      </c>
      <c r="I59" s="32">
        <v>0.95</v>
      </c>
      <c r="J59" s="17">
        <v>101.18</v>
      </c>
      <c r="K59" s="17">
        <v>98.09</v>
      </c>
      <c r="M59" s="19"/>
      <c r="N59" s="33" t="s">
        <v>844</v>
      </c>
      <c r="O59" s="17">
        <v>112.18</v>
      </c>
      <c r="P59" s="17">
        <v>87.24</v>
      </c>
      <c r="Q59" s="17">
        <v>99.71</v>
      </c>
      <c r="S59" s="19"/>
      <c r="T59" s="31" t="s">
        <v>845</v>
      </c>
      <c r="U59" s="17">
        <v>80.62</v>
      </c>
      <c r="V59" s="15">
        <v>96.63</v>
      </c>
      <c r="W59" s="34">
        <v>88.63</v>
      </c>
    </row>
    <row r="60" spans="1:23" ht="14.25" customHeight="1">
      <c r="A60" s="11"/>
      <c r="B60" s="11" t="s">
        <v>64</v>
      </c>
      <c r="C60" s="11">
        <v>85.87</v>
      </c>
      <c r="D60" s="30">
        <v>96.51</v>
      </c>
      <c r="E60" s="11">
        <f t="shared" si="0"/>
        <v>91.19</v>
      </c>
      <c r="G60" s="19"/>
      <c r="H60" s="31" t="s">
        <v>846</v>
      </c>
      <c r="I60" s="32">
        <v>0.95</v>
      </c>
      <c r="J60" s="17">
        <v>107.55</v>
      </c>
      <c r="K60" s="17">
        <v>101.27500000000001</v>
      </c>
      <c r="M60" s="19"/>
      <c r="N60" s="33" t="s">
        <v>847</v>
      </c>
      <c r="O60" s="17">
        <v>101.46</v>
      </c>
      <c r="P60" s="17">
        <v>103.6</v>
      </c>
      <c r="Q60" s="17">
        <v>102.53</v>
      </c>
      <c r="S60" s="19"/>
      <c r="T60" s="31" t="s">
        <v>848</v>
      </c>
      <c r="U60" s="17">
        <v>80.760000000000005</v>
      </c>
      <c r="V60" s="15">
        <v>115.63</v>
      </c>
      <c r="W60" s="34">
        <v>98.2</v>
      </c>
    </row>
    <row r="61" spans="1:23" ht="14.25" customHeight="1">
      <c r="A61" s="11"/>
      <c r="B61" s="11" t="s">
        <v>65</v>
      </c>
      <c r="C61" s="11">
        <v>92.6</v>
      </c>
      <c r="D61" s="30">
        <v>92.05</v>
      </c>
      <c r="E61" s="11">
        <f t="shared" si="0"/>
        <v>92.324999999999989</v>
      </c>
      <c r="G61" s="19"/>
      <c r="H61" s="31" t="s">
        <v>849</v>
      </c>
      <c r="I61" s="32">
        <v>0.92</v>
      </c>
      <c r="J61" s="17">
        <v>96.29</v>
      </c>
      <c r="K61" s="17">
        <v>94.144999999999996</v>
      </c>
      <c r="M61" s="19"/>
      <c r="N61" s="33" t="s">
        <v>850</v>
      </c>
      <c r="O61" s="17">
        <v>106.03</v>
      </c>
      <c r="P61" s="17">
        <v>93.83</v>
      </c>
      <c r="Q61" s="17">
        <v>99.93</v>
      </c>
      <c r="S61" s="19"/>
      <c r="T61" s="31" t="s">
        <v>851</v>
      </c>
      <c r="U61" s="17">
        <v>88.8</v>
      </c>
      <c r="V61" s="15">
        <v>99.08</v>
      </c>
      <c r="W61" s="34">
        <v>93.94</v>
      </c>
    </row>
    <row r="62" spans="1:23" ht="14.25" customHeight="1">
      <c r="A62" s="11"/>
      <c r="B62" s="11" t="s">
        <v>66</v>
      </c>
      <c r="C62" s="11">
        <v>108.35</v>
      </c>
      <c r="D62" s="30">
        <v>92.72</v>
      </c>
      <c r="E62" s="11">
        <f t="shared" si="0"/>
        <v>100.535</v>
      </c>
      <c r="G62" s="19"/>
      <c r="H62" s="31" t="s">
        <v>852</v>
      </c>
      <c r="I62" s="32">
        <v>0.77</v>
      </c>
      <c r="J62" s="17">
        <v>93.96</v>
      </c>
      <c r="K62" s="17">
        <v>85.48</v>
      </c>
      <c r="M62" s="19"/>
      <c r="N62" s="33" t="s">
        <v>853</v>
      </c>
      <c r="O62" s="17">
        <v>104.32</v>
      </c>
      <c r="P62" s="17">
        <v>88.42</v>
      </c>
      <c r="Q62" s="17">
        <v>96.37</v>
      </c>
      <c r="S62" s="19"/>
      <c r="T62" s="31" t="s">
        <v>854</v>
      </c>
      <c r="U62" s="17">
        <v>109.28</v>
      </c>
      <c r="V62" s="15">
        <v>108.88</v>
      </c>
      <c r="W62" s="34">
        <v>109.08</v>
      </c>
    </row>
    <row r="63" spans="1:23" ht="14.25" customHeight="1">
      <c r="A63" s="11"/>
      <c r="B63" s="11" t="s">
        <v>67</v>
      </c>
      <c r="C63" s="11">
        <v>94.09</v>
      </c>
      <c r="D63" s="30">
        <v>89.16</v>
      </c>
      <c r="E63" s="11">
        <f t="shared" si="0"/>
        <v>91.625</v>
      </c>
      <c r="G63" s="19"/>
      <c r="H63" s="31" t="s">
        <v>855</v>
      </c>
      <c r="I63" s="32">
        <v>0.55000000000000004</v>
      </c>
      <c r="J63" s="17">
        <v>79.819999999999993</v>
      </c>
      <c r="K63" s="17">
        <v>67.41</v>
      </c>
      <c r="M63" s="19"/>
      <c r="N63" s="33" t="s">
        <v>856</v>
      </c>
      <c r="O63" s="17">
        <v>85.16</v>
      </c>
      <c r="P63" s="17">
        <v>94.78</v>
      </c>
      <c r="Q63" s="17">
        <v>89.97</v>
      </c>
      <c r="S63" s="19"/>
      <c r="T63" s="31" t="s">
        <v>857</v>
      </c>
      <c r="U63" s="17">
        <v>93.57</v>
      </c>
      <c r="V63" s="15">
        <v>89.52</v>
      </c>
      <c r="W63" s="34">
        <v>91.55</v>
      </c>
    </row>
    <row r="64" spans="1:23" ht="14.25" customHeight="1">
      <c r="A64" s="11"/>
      <c r="B64" s="11" t="s">
        <v>68</v>
      </c>
      <c r="C64" s="11">
        <v>102.49</v>
      </c>
      <c r="D64" s="30">
        <v>96.33</v>
      </c>
      <c r="E64" s="11">
        <f t="shared" si="0"/>
        <v>99.41</v>
      </c>
      <c r="G64" s="19"/>
      <c r="H64" s="31" t="s">
        <v>858</v>
      </c>
      <c r="I64" s="32">
        <v>1.01</v>
      </c>
      <c r="J64" s="17">
        <v>96.65</v>
      </c>
      <c r="K64" s="17">
        <v>98.825000000000003</v>
      </c>
      <c r="M64" s="19"/>
      <c r="N64" s="33" t="s">
        <v>859</v>
      </c>
      <c r="O64" s="17">
        <v>110.59</v>
      </c>
      <c r="P64" s="17">
        <v>96.07</v>
      </c>
      <c r="Q64" s="17">
        <v>103.33</v>
      </c>
      <c r="S64" s="19"/>
      <c r="T64" s="31" t="s">
        <v>860</v>
      </c>
      <c r="U64" s="17">
        <v>104.62</v>
      </c>
      <c r="V64" s="15">
        <v>113.77</v>
      </c>
      <c r="W64" s="34">
        <v>109.2</v>
      </c>
    </row>
    <row r="65" spans="1:23" ht="14.25" customHeight="1">
      <c r="A65" s="11"/>
      <c r="B65" s="11" t="s">
        <v>69</v>
      </c>
      <c r="C65" s="11">
        <v>100.3</v>
      </c>
      <c r="D65" s="30">
        <v>95.44</v>
      </c>
      <c r="E65" s="11">
        <f t="shared" si="0"/>
        <v>97.87</v>
      </c>
      <c r="G65" s="19"/>
      <c r="H65" s="31" t="s">
        <v>861</v>
      </c>
      <c r="I65" s="32">
        <v>0.8</v>
      </c>
      <c r="J65" s="17">
        <v>94.21</v>
      </c>
      <c r="K65" s="17">
        <v>87.105000000000004</v>
      </c>
      <c r="M65" s="19"/>
      <c r="N65" s="33" t="s">
        <v>862</v>
      </c>
      <c r="O65" s="17">
        <v>84.66</v>
      </c>
      <c r="P65" s="17">
        <v>90.5</v>
      </c>
      <c r="Q65" s="17">
        <v>87.58</v>
      </c>
      <c r="S65" s="19"/>
      <c r="T65" s="31" t="s">
        <v>863</v>
      </c>
      <c r="U65" s="17">
        <v>86.51</v>
      </c>
      <c r="V65" s="15">
        <v>98.84</v>
      </c>
      <c r="W65" s="34">
        <v>92.68</v>
      </c>
    </row>
    <row r="66" spans="1:23" ht="14.25" customHeight="1">
      <c r="A66" s="11"/>
      <c r="B66" s="11" t="s">
        <v>70</v>
      </c>
      <c r="C66" s="11">
        <v>101.71</v>
      </c>
      <c r="D66" s="30">
        <v>91.11</v>
      </c>
      <c r="E66" s="11">
        <f t="shared" si="0"/>
        <v>96.41</v>
      </c>
      <c r="G66" s="19"/>
      <c r="H66" s="31" t="s">
        <v>864</v>
      </c>
      <c r="I66" s="32">
        <v>0.72</v>
      </c>
      <c r="J66" s="17">
        <v>79.569999999999993</v>
      </c>
      <c r="K66" s="17">
        <v>75.784999999999997</v>
      </c>
      <c r="M66" s="19"/>
      <c r="N66" s="33" t="s">
        <v>865</v>
      </c>
      <c r="O66" s="17">
        <v>98.81</v>
      </c>
      <c r="P66" s="17">
        <v>90.14</v>
      </c>
      <c r="Q66" s="17">
        <v>94.47</v>
      </c>
      <c r="S66" s="19"/>
      <c r="T66" s="31" t="s">
        <v>866</v>
      </c>
      <c r="U66" s="17">
        <v>73.78</v>
      </c>
      <c r="V66" s="15">
        <v>88.43</v>
      </c>
      <c r="W66" s="34">
        <v>81.11</v>
      </c>
    </row>
    <row r="67" spans="1:23" ht="14.25" customHeight="1">
      <c r="A67" s="11"/>
      <c r="B67" s="11" t="s">
        <v>71</v>
      </c>
      <c r="C67" s="11">
        <v>88.91</v>
      </c>
      <c r="D67" s="30">
        <v>91.36</v>
      </c>
      <c r="E67" s="11">
        <f t="shared" si="0"/>
        <v>90.134999999999991</v>
      </c>
      <c r="G67" s="19"/>
      <c r="H67" s="31" t="s">
        <v>867</v>
      </c>
      <c r="I67" s="32">
        <v>1.05</v>
      </c>
      <c r="J67" s="17">
        <v>98.32</v>
      </c>
      <c r="K67" s="17">
        <v>101.66</v>
      </c>
      <c r="M67" s="19"/>
      <c r="N67" s="33" t="s">
        <v>868</v>
      </c>
      <c r="O67" s="17">
        <v>100.35</v>
      </c>
      <c r="P67" s="17">
        <v>82.04</v>
      </c>
      <c r="Q67" s="17">
        <v>91.19</v>
      </c>
      <c r="S67" s="19"/>
      <c r="T67" s="31" t="s">
        <v>869</v>
      </c>
      <c r="U67" s="17">
        <v>41.16</v>
      </c>
      <c r="V67" s="15">
        <v>88.77</v>
      </c>
      <c r="W67" s="34">
        <v>64.97</v>
      </c>
    </row>
    <row r="68" spans="1:23" ht="14.25" customHeight="1">
      <c r="A68" s="11"/>
      <c r="B68" s="11" t="s">
        <v>72</v>
      </c>
      <c r="C68" s="11">
        <v>79.5</v>
      </c>
      <c r="D68" s="30">
        <v>114.39</v>
      </c>
      <c r="E68" s="11">
        <f t="shared" si="0"/>
        <v>96.944999999999993</v>
      </c>
      <c r="G68" s="19"/>
      <c r="H68" s="31" t="s">
        <v>870</v>
      </c>
      <c r="I68" s="32">
        <v>0.79</v>
      </c>
      <c r="J68" s="17">
        <v>94.53</v>
      </c>
      <c r="K68" s="17">
        <v>86.765000000000001</v>
      </c>
      <c r="M68" s="19"/>
      <c r="N68" s="33" t="s">
        <v>871</v>
      </c>
      <c r="O68" s="17">
        <v>87.16</v>
      </c>
      <c r="P68" s="17">
        <v>90.66</v>
      </c>
      <c r="Q68" s="17">
        <v>88.91</v>
      </c>
      <c r="S68" s="19"/>
      <c r="T68" s="31" t="s">
        <v>872</v>
      </c>
      <c r="U68" s="17">
        <v>94.73</v>
      </c>
      <c r="V68" s="15">
        <v>78.89</v>
      </c>
      <c r="W68" s="34">
        <v>86.81</v>
      </c>
    </row>
    <row r="69" spans="1:23" ht="14.25" customHeight="1">
      <c r="A69" s="11"/>
      <c r="B69" s="11" t="s">
        <v>73</v>
      </c>
      <c r="C69" s="11">
        <v>69.239999999999995</v>
      </c>
      <c r="D69" s="30">
        <v>84.77</v>
      </c>
      <c r="E69" s="11">
        <f t="shared" si="0"/>
        <v>77.004999999999995</v>
      </c>
      <c r="G69" s="19"/>
      <c r="H69" s="31" t="s">
        <v>873</v>
      </c>
      <c r="I69" s="32">
        <v>0.71</v>
      </c>
      <c r="J69" s="17">
        <v>82.98</v>
      </c>
      <c r="K69" s="17">
        <v>76.989999999999995</v>
      </c>
      <c r="M69" s="19"/>
      <c r="N69" s="33" t="s">
        <v>874</v>
      </c>
      <c r="O69" s="17">
        <v>101.8</v>
      </c>
      <c r="P69" s="17">
        <v>95.7</v>
      </c>
      <c r="Q69" s="17">
        <v>98.75</v>
      </c>
      <c r="S69" s="19"/>
      <c r="T69" s="31" t="s">
        <v>875</v>
      </c>
      <c r="U69" s="17">
        <v>80.930000000000007</v>
      </c>
      <c r="V69" s="15">
        <v>102.69</v>
      </c>
      <c r="W69" s="34">
        <v>91.81</v>
      </c>
    </row>
    <row r="70" spans="1:23" ht="14.25" customHeight="1">
      <c r="A70" s="11"/>
      <c r="B70" s="11" t="s">
        <v>74</v>
      </c>
      <c r="C70" s="11">
        <v>87.38</v>
      </c>
      <c r="D70" s="30">
        <v>75.92</v>
      </c>
      <c r="E70" s="11">
        <f t="shared" si="0"/>
        <v>81.650000000000006</v>
      </c>
      <c r="G70" s="19"/>
      <c r="H70" s="31" t="s">
        <v>876</v>
      </c>
      <c r="I70" s="32">
        <v>0.97</v>
      </c>
      <c r="J70" s="17">
        <v>92.96</v>
      </c>
      <c r="K70" s="17">
        <v>94.98</v>
      </c>
      <c r="M70" s="19"/>
      <c r="N70" s="33" t="s">
        <v>877</v>
      </c>
      <c r="O70" s="17">
        <v>85.42</v>
      </c>
      <c r="P70" s="17">
        <v>121.05</v>
      </c>
      <c r="Q70" s="17">
        <v>103.24</v>
      </c>
      <c r="S70" s="19"/>
      <c r="T70" s="31" t="s">
        <v>878</v>
      </c>
      <c r="U70" s="17">
        <v>101.86</v>
      </c>
      <c r="V70" s="15">
        <v>103.38</v>
      </c>
      <c r="W70" s="34">
        <v>102.62</v>
      </c>
    </row>
    <row r="71" spans="1:23" ht="14.25" customHeight="1">
      <c r="A71" s="11"/>
      <c r="B71" s="11" t="s">
        <v>75</v>
      </c>
      <c r="C71" s="11">
        <v>87.12</v>
      </c>
      <c r="D71" s="30">
        <v>72.03</v>
      </c>
      <c r="E71" s="11">
        <f t="shared" si="0"/>
        <v>79.575000000000003</v>
      </c>
      <c r="G71" s="19"/>
      <c r="H71" s="31" t="s">
        <v>879</v>
      </c>
      <c r="I71" s="32">
        <v>0.91</v>
      </c>
      <c r="J71" s="17">
        <v>77.89</v>
      </c>
      <c r="K71" s="17">
        <v>84.444999999999993</v>
      </c>
      <c r="M71" s="19"/>
      <c r="N71" s="33" t="s">
        <v>880</v>
      </c>
      <c r="O71" s="17">
        <v>91.37</v>
      </c>
      <c r="P71" s="17">
        <v>100.85</v>
      </c>
      <c r="Q71" s="17">
        <v>96.11</v>
      </c>
      <c r="S71" s="19"/>
      <c r="T71" s="31" t="s">
        <v>881</v>
      </c>
      <c r="U71" s="17">
        <v>68.31</v>
      </c>
      <c r="V71" s="15">
        <v>106.2</v>
      </c>
      <c r="W71" s="34">
        <v>87.26</v>
      </c>
    </row>
    <row r="72" spans="1:23" ht="14.25" customHeight="1">
      <c r="A72" s="11"/>
      <c r="B72" s="11" t="s">
        <v>76</v>
      </c>
      <c r="C72" s="11">
        <v>97.91</v>
      </c>
      <c r="D72" s="30">
        <v>96.16</v>
      </c>
      <c r="E72" s="11">
        <f t="shared" si="0"/>
        <v>97.034999999999997</v>
      </c>
      <c r="G72" s="19"/>
      <c r="H72" s="31" t="s">
        <v>882</v>
      </c>
      <c r="I72" s="32">
        <v>0.81</v>
      </c>
      <c r="J72" s="17">
        <v>81.37</v>
      </c>
      <c r="K72" s="17">
        <v>81.185000000000002</v>
      </c>
      <c r="M72" s="19"/>
      <c r="N72" s="33" t="s">
        <v>883</v>
      </c>
      <c r="O72" s="17">
        <v>88.89</v>
      </c>
      <c r="P72" s="17">
        <v>92.79</v>
      </c>
      <c r="Q72" s="17">
        <v>90.84</v>
      </c>
      <c r="S72" s="19"/>
      <c r="T72" s="31" t="s">
        <v>884</v>
      </c>
      <c r="U72" s="17">
        <v>77.209999999999994</v>
      </c>
      <c r="V72" s="15">
        <v>292.75</v>
      </c>
      <c r="W72" s="34">
        <v>184.98</v>
      </c>
    </row>
    <row r="73" spans="1:23" ht="14.25" customHeight="1">
      <c r="A73" s="11"/>
      <c r="B73" s="11" t="s">
        <v>77</v>
      </c>
      <c r="C73" s="11">
        <v>91.83</v>
      </c>
      <c r="D73" s="30">
        <v>101.65</v>
      </c>
      <c r="E73" s="11">
        <f t="shared" si="0"/>
        <v>96.740000000000009</v>
      </c>
      <c r="G73" s="19"/>
      <c r="H73" s="31" t="s">
        <v>885</v>
      </c>
      <c r="I73" s="32">
        <v>0.83</v>
      </c>
      <c r="J73" s="17">
        <v>74.849999999999994</v>
      </c>
      <c r="K73" s="17">
        <v>78.924999999999997</v>
      </c>
      <c r="M73" s="19"/>
      <c r="N73" s="33" t="s">
        <v>886</v>
      </c>
      <c r="O73" s="17">
        <v>101.39</v>
      </c>
      <c r="P73" s="17">
        <v>111.45</v>
      </c>
      <c r="Q73" s="17">
        <v>106.42</v>
      </c>
      <c r="S73" s="19"/>
      <c r="T73" s="31" t="s">
        <v>887</v>
      </c>
      <c r="U73" s="17">
        <v>78.87</v>
      </c>
      <c r="V73" s="15">
        <v>103.08</v>
      </c>
      <c r="W73" s="34">
        <v>90.98</v>
      </c>
    </row>
    <row r="74" spans="1:23" ht="14.25" customHeight="1">
      <c r="A74" s="11"/>
      <c r="B74" s="11" t="s">
        <v>78</v>
      </c>
      <c r="C74" s="11">
        <v>91.71</v>
      </c>
      <c r="D74" s="30">
        <v>81.73</v>
      </c>
      <c r="E74" s="11">
        <f t="shared" si="0"/>
        <v>86.72</v>
      </c>
      <c r="G74" s="19"/>
      <c r="H74" s="31" t="s">
        <v>888</v>
      </c>
      <c r="I74" s="32">
        <v>0.85</v>
      </c>
      <c r="J74" s="17">
        <v>89.75</v>
      </c>
      <c r="K74" s="17">
        <v>87.375</v>
      </c>
      <c r="M74" s="19"/>
      <c r="N74" s="33" t="s">
        <v>889</v>
      </c>
      <c r="O74" s="17">
        <v>93.36</v>
      </c>
      <c r="P74" s="17">
        <v>92.26</v>
      </c>
      <c r="Q74" s="17">
        <v>92.81</v>
      </c>
      <c r="S74" s="19"/>
      <c r="T74" s="31" t="s">
        <v>890</v>
      </c>
      <c r="U74" s="17">
        <v>106.98</v>
      </c>
      <c r="V74" s="15">
        <v>88.02</v>
      </c>
      <c r="W74" s="34">
        <v>97.5</v>
      </c>
    </row>
    <row r="75" spans="1:23" ht="14.25" customHeight="1">
      <c r="A75" s="11"/>
      <c r="B75" s="11" t="s">
        <v>79</v>
      </c>
      <c r="C75" s="11">
        <v>69.77</v>
      </c>
      <c r="D75" s="30">
        <v>95.35</v>
      </c>
      <c r="E75" s="11">
        <f t="shared" si="0"/>
        <v>82.56</v>
      </c>
      <c r="G75" s="19"/>
      <c r="H75" s="31" t="s">
        <v>891</v>
      </c>
      <c r="I75" s="32">
        <v>0.44</v>
      </c>
      <c r="J75" s="17">
        <v>74</v>
      </c>
      <c r="K75" s="17">
        <v>59</v>
      </c>
      <c r="M75" s="19"/>
      <c r="N75" s="33" t="s">
        <v>892</v>
      </c>
      <c r="O75" s="17">
        <v>92.09</v>
      </c>
      <c r="P75" s="17">
        <v>92.58</v>
      </c>
      <c r="Q75" s="17">
        <v>92.34</v>
      </c>
      <c r="S75" s="19"/>
      <c r="T75" s="31" t="s">
        <v>893</v>
      </c>
      <c r="U75" s="17">
        <v>47.1</v>
      </c>
      <c r="V75" s="15">
        <v>138.1</v>
      </c>
      <c r="W75" s="34">
        <v>92.6</v>
      </c>
    </row>
    <row r="76" spans="1:23" ht="14.25" customHeight="1">
      <c r="A76" s="11"/>
      <c r="B76" s="11" t="s">
        <v>80</v>
      </c>
      <c r="C76" s="11">
        <v>90.94</v>
      </c>
      <c r="D76" s="30">
        <v>90.08</v>
      </c>
      <c r="E76" s="11">
        <f t="shared" si="0"/>
        <v>90.509999999999991</v>
      </c>
      <c r="G76" s="19"/>
      <c r="H76" s="31" t="s">
        <v>894</v>
      </c>
      <c r="I76" s="32">
        <v>0.85</v>
      </c>
      <c r="J76" s="17">
        <v>96.01</v>
      </c>
      <c r="K76" s="17">
        <v>90.504999999999995</v>
      </c>
      <c r="M76" s="19"/>
      <c r="N76" s="33" t="s">
        <v>895</v>
      </c>
      <c r="O76" s="17">
        <v>99.11</v>
      </c>
      <c r="P76" s="17">
        <v>98.96</v>
      </c>
      <c r="Q76" s="17">
        <v>99.04</v>
      </c>
      <c r="S76" s="19"/>
      <c r="T76" s="31" t="s">
        <v>896</v>
      </c>
      <c r="U76" s="17">
        <v>61.92</v>
      </c>
      <c r="V76" s="15">
        <v>95.01</v>
      </c>
      <c r="W76" s="34">
        <v>78.47</v>
      </c>
    </row>
    <row r="77" spans="1:23" ht="14.25" customHeight="1">
      <c r="A77" s="11"/>
      <c r="B77" s="11" t="s">
        <v>81</v>
      </c>
      <c r="C77" s="11">
        <v>135.22999999999999</v>
      </c>
      <c r="D77" s="30">
        <v>97.05</v>
      </c>
      <c r="E77" s="11">
        <f t="shared" si="0"/>
        <v>116.13999999999999</v>
      </c>
      <c r="G77" s="19"/>
      <c r="H77" s="31" t="s">
        <v>897</v>
      </c>
      <c r="I77" s="32">
        <v>0.64</v>
      </c>
      <c r="J77" s="17">
        <v>64.14</v>
      </c>
      <c r="K77" s="17">
        <v>64.069999999999993</v>
      </c>
      <c r="M77" s="19"/>
      <c r="N77" s="33" t="s">
        <v>898</v>
      </c>
      <c r="O77" s="17">
        <v>89.36</v>
      </c>
      <c r="P77" s="17">
        <v>91.81</v>
      </c>
      <c r="Q77" s="17">
        <v>90.59</v>
      </c>
      <c r="S77" s="19"/>
      <c r="T77" s="31" t="s">
        <v>899</v>
      </c>
      <c r="U77" s="17">
        <v>88.56</v>
      </c>
      <c r="V77" s="15">
        <v>80.3</v>
      </c>
      <c r="W77" s="34">
        <v>84.43</v>
      </c>
    </row>
    <row r="78" spans="1:23" ht="14.25" customHeight="1">
      <c r="A78" s="11"/>
      <c r="B78" s="11" t="s">
        <v>82</v>
      </c>
      <c r="C78" s="11">
        <v>92.98</v>
      </c>
      <c r="D78" s="30">
        <v>80.73</v>
      </c>
      <c r="E78" s="11">
        <f t="shared" si="0"/>
        <v>86.855000000000004</v>
      </c>
      <c r="G78" s="19"/>
      <c r="H78" s="31" t="s">
        <v>900</v>
      </c>
      <c r="I78" s="32">
        <v>0.83</v>
      </c>
      <c r="J78" s="17">
        <v>88.22</v>
      </c>
      <c r="K78" s="17">
        <v>85.61</v>
      </c>
      <c r="M78" s="19"/>
      <c r="N78" s="33" t="s">
        <v>901</v>
      </c>
      <c r="O78" s="17">
        <v>119.37</v>
      </c>
      <c r="P78" s="17">
        <v>101.26</v>
      </c>
      <c r="Q78" s="17">
        <v>110.32</v>
      </c>
      <c r="S78" s="19"/>
      <c r="T78" s="31" t="s">
        <v>874</v>
      </c>
      <c r="U78" s="17">
        <v>107.75</v>
      </c>
      <c r="V78" s="15">
        <v>97.33</v>
      </c>
      <c r="W78" s="34">
        <v>102.54</v>
      </c>
    </row>
    <row r="79" spans="1:23" ht="14.25" customHeight="1">
      <c r="A79" s="11"/>
      <c r="B79" s="11" t="s">
        <v>83</v>
      </c>
      <c r="C79" s="11">
        <v>74.37</v>
      </c>
      <c r="D79" s="30">
        <v>94.68</v>
      </c>
      <c r="E79" s="11">
        <f t="shared" si="0"/>
        <v>84.525000000000006</v>
      </c>
      <c r="G79" s="19"/>
      <c r="H79" s="31" t="s">
        <v>902</v>
      </c>
      <c r="I79" s="32">
        <v>1.07</v>
      </c>
      <c r="J79" s="17">
        <v>104.92</v>
      </c>
      <c r="K79" s="17">
        <v>105.96</v>
      </c>
      <c r="M79" s="19"/>
      <c r="N79" s="33" t="s">
        <v>903</v>
      </c>
      <c r="O79" s="17">
        <v>86.03</v>
      </c>
      <c r="P79" s="17">
        <v>85.71</v>
      </c>
      <c r="Q79" s="17">
        <v>85.87</v>
      </c>
      <c r="S79" s="19"/>
      <c r="T79" s="31" t="s">
        <v>904</v>
      </c>
      <c r="U79" s="17">
        <v>72.73</v>
      </c>
      <c r="V79" s="15">
        <v>99.75</v>
      </c>
      <c r="W79" s="34">
        <v>86.24</v>
      </c>
    </row>
    <row r="80" spans="1:23" ht="14.25" customHeight="1">
      <c r="A80" s="11"/>
      <c r="B80" s="11" t="s">
        <v>84</v>
      </c>
      <c r="C80" s="11">
        <v>106.35</v>
      </c>
      <c r="D80" s="30">
        <v>74.650000000000006</v>
      </c>
      <c r="E80" s="11">
        <f t="shared" si="0"/>
        <v>90.5</v>
      </c>
      <c r="G80" s="19"/>
      <c r="H80" s="31" t="s">
        <v>905</v>
      </c>
      <c r="I80" s="32">
        <v>0.61</v>
      </c>
      <c r="J80" s="17">
        <v>60.71</v>
      </c>
      <c r="K80" s="17">
        <v>60.854999999999997</v>
      </c>
      <c r="M80" s="19"/>
      <c r="N80" s="33" t="s">
        <v>906</v>
      </c>
      <c r="O80" s="17">
        <v>105.08</v>
      </c>
      <c r="P80" s="17">
        <v>117.01</v>
      </c>
      <c r="Q80" s="17">
        <v>111.04</v>
      </c>
      <c r="S80" s="19"/>
      <c r="T80" s="31" t="s">
        <v>907</v>
      </c>
      <c r="U80" s="17">
        <v>72.91</v>
      </c>
      <c r="V80" s="15">
        <v>81.12</v>
      </c>
      <c r="W80" s="34">
        <v>77.02</v>
      </c>
    </row>
    <row r="81" spans="1:23" ht="14.25" customHeight="1">
      <c r="A81" s="11"/>
      <c r="B81" s="11" t="s">
        <v>85</v>
      </c>
      <c r="C81" s="11">
        <v>70.05</v>
      </c>
      <c r="D81" s="30">
        <v>100.61</v>
      </c>
      <c r="E81" s="11">
        <f t="shared" si="0"/>
        <v>85.33</v>
      </c>
      <c r="G81" s="19"/>
      <c r="H81" s="31" t="s">
        <v>908</v>
      </c>
      <c r="I81" s="32">
        <v>0.68</v>
      </c>
      <c r="J81" s="17">
        <v>74</v>
      </c>
      <c r="K81" s="17">
        <v>71</v>
      </c>
      <c r="O81" s="38"/>
      <c r="S81" s="19"/>
      <c r="T81" s="31" t="s">
        <v>909</v>
      </c>
      <c r="U81" s="17">
        <v>92.89</v>
      </c>
      <c r="V81" s="15">
        <v>90.68</v>
      </c>
      <c r="W81" s="34">
        <v>91.79</v>
      </c>
    </row>
    <row r="82" spans="1:23" ht="14.25" customHeight="1">
      <c r="A82" s="11"/>
      <c r="B82" s="11" t="s">
        <v>86</v>
      </c>
      <c r="C82" s="11">
        <v>75.78</v>
      </c>
      <c r="D82" s="30">
        <v>98.36</v>
      </c>
      <c r="E82" s="11">
        <f t="shared" si="0"/>
        <v>87.07</v>
      </c>
      <c r="G82" s="19"/>
      <c r="H82" s="31" t="s">
        <v>910</v>
      </c>
      <c r="I82" s="32">
        <v>0.88</v>
      </c>
      <c r="J82" s="17">
        <v>111.48</v>
      </c>
      <c r="K82" s="17">
        <v>99.74</v>
      </c>
      <c r="O82" s="38"/>
      <c r="S82" s="19"/>
      <c r="T82" s="31" t="s">
        <v>911</v>
      </c>
      <c r="U82" s="17">
        <v>75.94</v>
      </c>
      <c r="V82" s="15">
        <v>111.11</v>
      </c>
      <c r="W82" s="34">
        <v>93.53</v>
      </c>
    </row>
    <row r="83" spans="1:23" ht="14.25" customHeight="1">
      <c r="A83" s="11"/>
      <c r="B83" s="11" t="s">
        <v>87</v>
      </c>
      <c r="C83" s="11">
        <v>86.67</v>
      </c>
      <c r="D83" s="30">
        <v>79.87</v>
      </c>
      <c r="E83" s="11">
        <f t="shared" si="0"/>
        <v>83.27000000000001</v>
      </c>
      <c r="G83" s="19"/>
      <c r="H83" s="31" t="s">
        <v>912</v>
      </c>
      <c r="I83" s="32">
        <v>0.66</v>
      </c>
      <c r="J83" s="17">
        <v>76.73</v>
      </c>
      <c r="K83" s="17">
        <v>71.364999999999995</v>
      </c>
      <c r="O83" s="38"/>
      <c r="S83" s="19"/>
      <c r="T83" s="31" t="s">
        <v>913</v>
      </c>
      <c r="U83" s="17">
        <v>122.22</v>
      </c>
      <c r="V83" s="15">
        <v>96.62</v>
      </c>
      <c r="W83" s="34">
        <v>109.42</v>
      </c>
    </row>
    <row r="84" spans="1:23" ht="14.25" customHeight="1">
      <c r="A84" s="11"/>
      <c r="B84" s="11" t="s">
        <v>88</v>
      </c>
      <c r="C84" s="11">
        <v>105.68</v>
      </c>
      <c r="D84" s="30">
        <v>89.37</v>
      </c>
      <c r="E84" s="11">
        <f t="shared" si="0"/>
        <v>97.525000000000006</v>
      </c>
      <c r="G84" s="19"/>
      <c r="H84" s="31" t="s">
        <v>914</v>
      </c>
      <c r="I84" s="32">
        <v>0.74</v>
      </c>
      <c r="J84" s="17">
        <v>80.44</v>
      </c>
      <c r="K84" s="17">
        <v>77.22</v>
      </c>
      <c r="S84" s="19"/>
      <c r="T84" s="31" t="s">
        <v>915</v>
      </c>
      <c r="U84" s="17">
        <v>87.89</v>
      </c>
      <c r="V84" s="15">
        <v>93.26</v>
      </c>
      <c r="W84" s="34">
        <v>90.58</v>
      </c>
    </row>
    <row r="85" spans="1:23" ht="14.25" customHeight="1">
      <c r="A85" s="11"/>
      <c r="B85" s="11" t="s">
        <v>89</v>
      </c>
      <c r="C85" s="11">
        <v>97.61</v>
      </c>
      <c r="D85" s="30">
        <v>80.62</v>
      </c>
      <c r="E85" s="11">
        <f t="shared" si="0"/>
        <v>89.115000000000009</v>
      </c>
      <c r="G85" s="19"/>
      <c r="H85" s="31" t="s">
        <v>916</v>
      </c>
      <c r="I85" s="32">
        <v>0.91</v>
      </c>
      <c r="J85" s="17">
        <v>107.07</v>
      </c>
      <c r="K85" s="17">
        <v>99.034999999999997</v>
      </c>
      <c r="S85" s="19"/>
      <c r="T85" s="31" t="s">
        <v>917</v>
      </c>
      <c r="U85" s="17">
        <v>88.96</v>
      </c>
      <c r="V85" s="15">
        <v>109.37</v>
      </c>
      <c r="W85" s="34">
        <v>99.17</v>
      </c>
    </row>
    <row r="86" spans="1:23" ht="14.25" customHeight="1">
      <c r="A86" s="11"/>
      <c r="B86" s="11" t="s">
        <v>90</v>
      </c>
      <c r="C86" s="11">
        <v>102.71</v>
      </c>
      <c r="D86" s="30">
        <v>97.66</v>
      </c>
      <c r="E86" s="11">
        <f t="shared" si="0"/>
        <v>100.185</v>
      </c>
      <c r="G86" s="19"/>
      <c r="H86" s="31" t="s">
        <v>918</v>
      </c>
      <c r="I86" s="32">
        <v>0.93</v>
      </c>
      <c r="J86" s="17">
        <v>67.86</v>
      </c>
      <c r="K86" s="17">
        <v>80.430000000000007</v>
      </c>
      <c r="S86" s="19"/>
      <c r="T86" s="31" t="s">
        <v>919</v>
      </c>
      <c r="U86" s="17">
        <v>109.19</v>
      </c>
      <c r="V86" s="15">
        <v>106.39</v>
      </c>
      <c r="W86" s="34">
        <v>107.79</v>
      </c>
    </row>
    <row r="87" spans="1:23" ht="14.25" customHeight="1">
      <c r="A87" s="11"/>
      <c r="B87" s="11" t="s">
        <v>91</v>
      </c>
      <c r="C87" s="11">
        <v>100.7</v>
      </c>
      <c r="D87" s="30">
        <v>98.39</v>
      </c>
      <c r="E87" s="11">
        <f t="shared" si="0"/>
        <v>99.545000000000002</v>
      </c>
      <c r="G87" s="19"/>
      <c r="H87" s="31" t="s">
        <v>920</v>
      </c>
      <c r="I87" s="32">
        <v>0.84</v>
      </c>
      <c r="J87" s="17">
        <v>88.07</v>
      </c>
      <c r="K87" s="17">
        <v>86.034999999999997</v>
      </c>
      <c r="S87" s="19"/>
      <c r="T87" s="31" t="s">
        <v>921</v>
      </c>
      <c r="U87" s="17">
        <v>68.77</v>
      </c>
      <c r="V87" s="15">
        <v>116.61</v>
      </c>
      <c r="W87" s="34">
        <v>92.69</v>
      </c>
    </row>
    <row r="88" spans="1:23" ht="14.25" customHeight="1">
      <c r="A88" s="11"/>
      <c r="B88" s="11" t="s">
        <v>92</v>
      </c>
      <c r="C88" s="11">
        <v>86.08</v>
      </c>
      <c r="D88" s="30">
        <v>89.51</v>
      </c>
      <c r="E88" s="11">
        <f t="shared" si="0"/>
        <v>87.795000000000002</v>
      </c>
      <c r="G88" s="19"/>
      <c r="H88" s="31" t="s">
        <v>922</v>
      </c>
      <c r="I88" s="32">
        <v>0.77</v>
      </c>
      <c r="J88" s="17">
        <v>88.5</v>
      </c>
      <c r="K88" s="17">
        <v>82.75</v>
      </c>
      <c r="S88" s="19"/>
      <c r="T88" s="31" t="s">
        <v>923</v>
      </c>
      <c r="U88" s="17">
        <v>83.55</v>
      </c>
      <c r="V88" s="15">
        <v>88.52</v>
      </c>
      <c r="W88" s="34">
        <v>86.04</v>
      </c>
    </row>
    <row r="89" spans="1:23" ht="14.25" customHeight="1">
      <c r="A89" s="11"/>
      <c r="B89" s="11" t="s">
        <v>93</v>
      </c>
      <c r="C89" s="11">
        <v>87.01</v>
      </c>
      <c r="D89" s="30">
        <v>89.4</v>
      </c>
      <c r="E89" s="11">
        <f t="shared" si="0"/>
        <v>88.205000000000013</v>
      </c>
      <c r="G89" s="19"/>
      <c r="H89" s="31" t="s">
        <v>924</v>
      </c>
      <c r="I89" s="32">
        <v>1.02</v>
      </c>
      <c r="J89" s="17">
        <v>66.98</v>
      </c>
      <c r="K89" s="17">
        <v>84.49</v>
      </c>
      <c r="S89" s="19"/>
      <c r="T89" s="31" t="s">
        <v>925</v>
      </c>
      <c r="U89" s="17">
        <v>83.12</v>
      </c>
      <c r="V89" s="15">
        <v>151.35</v>
      </c>
      <c r="W89" s="34">
        <v>117.24</v>
      </c>
    </row>
    <row r="90" spans="1:23" ht="14.25" customHeight="1">
      <c r="A90" s="11"/>
      <c r="B90" s="11" t="s">
        <v>94</v>
      </c>
      <c r="C90" s="11">
        <v>91.18</v>
      </c>
      <c r="D90" s="30">
        <v>88.68</v>
      </c>
      <c r="E90" s="11">
        <f t="shared" si="0"/>
        <v>89.93</v>
      </c>
      <c r="G90" s="19"/>
      <c r="H90" s="31" t="s">
        <v>926</v>
      </c>
      <c r="I90" s="32">
        <v>0.83</v>
      </c>
      <c r="J90" s="17">
        <v>83.41</v>
      </c>
      <c r="K90" s="17">
        <v>83.204999999999998</v>
      </c>
      <c r="S90" s="19"/>
      <c r="T90" s="31" t="s">
        <v>927</v>
      </c>
      <c r="U90" s="17">
        <v>33.76</v>
      </c>
      <c r="V90" s="15">
        <v>113.76</v>
      </c>
      <c r="W90" s="34">
        <v>73.760000000000005</v>
      </c>
    </row>
    <row r="91" spans="1:23" ht="14.25" customHeight="1">
      <c r="A91" s="11"/>
      <c r="B91" s="11" t="s">
        <v>95</v>
      </c>
      <c r="C91" s="11">
        <v>100.39</v>
      </c>
      <c r="D91" s="30">
        <v>101.73</v>
      </c>
      <c r="E91" s="11">
        <f t="shared" si="0"/>
        <v>101.06</v>
      </c>
      <c r="G91" s="19"/>
      <c r="H91" s="31" t="s">
        <v>928</v>
      </c>
      <c r="I91" s="32">
        <v>0.87</v>
      </c>
      <c r="J91" s="17">
        <v>90.75</v>
      </c>
      <c r="K91" s="17">
        <v>88.875</v>
      </c>
      <c r="S91" s="19"/>
      <c r="T91" s="31" t="s">
        <v>929</v>
      </c>
      <c r="U91" s="17">
        <v>87.26</v>
      </c>
      <c r="V91" s="15">
        <v>101</v>
      </c>
      <c r="W91" s="34">
        <v>94.13</v>
      </c>
    </row>
    <row r="92" spans="1:23" ht="14.25" customHeight="1">
      <c r="A92" s="11"/>
      <c r="B92" s="11" t="s">
        <v>96</v>
      </c>
      <c r="C92" s="11">
        <v>86.75</v>
      </c>
      <c r="D92" s="30">
        <v>98.62</v>
      </c>
      <c r="E92" s="11">
        <f t="shared" si="0"/>
        <v>92.685000000000002</v>
      </c>
      <c r="G92" s="19"/>
      <c r="H92" s="31" t="s">
        <v>930</v>
      </c>
      <c r="I92" s="32">
        <v>1.01</v>
      </c>
      <c r="J92" s="17">
        <v>90.44</v>
      </c>
      <c r="K92" s="17">
        <v>95.72</v>
      </c>
      <c r="S92" s="19"/>
      <c r="T92" s="31" t="s">
        <v>931</v>
      </c>
      <c r="U92" s="17">
        <v>88.18</v>
      </c>
      <c r="V92" s="15">
        <v>121.01</v>
      </c>
      <c r="W92" s="34">
        <v>104.6</v>
      </c>
    </row>
    <row r="93" spans="1:23" ht="14.25" customHeight="1">
      <c r="A93" s="11"/>
      <c r="B93" s="11" t="s">
        <v>97</v>
      </c>
      <c r="C93" s="11">
        <v>74.84</v>
      </c>
      <c r="D93" s="30">
        <v>77.430000000000007</v>
      </c>
      <c r="E93" s="11">
        <f t="shared" si="0"/>
        <v>76.135000000000005</v>
      </c>
      <c r="G93" s="19"/>
      <c r="H93" s="31" t="s">
        <v>932</v>
      </c>
      <c r="I93" s="32">
        <v>0.91</v>
      </c>
      <c r="J93" s="17">
        <v>99.78</v>
      </c>
      <c r="K93" s="17">
        <v>95.39</v>
      </c>
      <c r="S93" s="19"/>
      <c r="T93" s="31" t="s">
        <v>933</v>
      </c>
      <c r="U93" s="17">
        <v>30.02</v>
      </c>
      <c r="V93" s="15">
        <v>107.94</v>
      </c>
      <c r="W93" s="34">
        <v>68.98</v>
      </c>
    </row>
    <row r="94" spans="1:23" ht="14.25" customHeight="1">
      <c r="A94" s="11"/>
      <c r="B94" s="11" t="s">
        <v>98</v>
      </c>
      <c r="C94" s="11">
        <v>89.16</v>
      </c>
      <c r="D94" s="30">
        <v>78.02</v>
      </c>
      <c r="E94" s="11">
        <f t="shared" si="0"/>
        <v>83.59</v>
      </c>
      <c r="G94" s="19"/>
      <c r="H94" s="31" t="s">
        <v>934</v>
      </c>
      <c r="I94" s="32">
        <v>0.79</v>
      </c>
      <c r="J94" s="17">
        <v>93.27</v>
      </c>
      <c r="K94" s="17">
        <v>86.135000000000005</v>
      </c>
      <c r="S94" s="19"/>
      <c r="T94" s="31" t="s">
        <v>935</v>
      </c>
      <c r="U94" s="17">
        <v>77.3</v>
      </c>
      <c r="V94" s="15">
        <v>96.47</v>
      </c>
      <c r="W94" s="34">
        <v>86.89</v>
      </c>
    </row>
    <row r="95" spans="1:23" ht="14.25" customHeight="1">
      <c r="A95" s="11"/>
      <c r="B95" s="11" t="s">
        <v>99</v>
      </c>
      <c r="C95" s="11">
        <v>90.59</v>
      </c>
      <c r="D95" s="30">
        <v>101.63</v>
      </c>
      <c r="E95" s="11">
        <f t="shared" si="0"/>
        <v>96.11</v>
      </c>
      <c r="S95" s="19"/>
      <c r="T95" s="31" t="s">
        <v>936</v>
      </c>
      <c r="U95" s="17">
        <v>153.69999999999999</v>
      </c>
      <c r="V95" s="15">
        <v>88.89</v>
      </c>
      <c r="W95" s="34">
        <v>121.3</v>
      </c>
    </row>
    <row r="96" spans="1:23" ht="14.25" customHeight="1">
      <c r="A96" s="11"/>
      <c r="B96" s="11" t="s">
        <v>100</v>
      </c>
      <c r="C96" s="11">
        <v>75.3</v>
      </c>
      <c r="D96" s="30">
        <v>95.63</v>
      </c>
      <c r="E96" s="11">
        <f t="shared" si="0"/>
        <v>85.465000000000003</v>
      </c>
      <c r="S96" s="19"/>
      <c r="T96" s="31" t="s">
        <v>937</v>
      </c>
      <c r="U96" s="17">
        <v>82.96</v>
      </c>
      <c r="V96" s="15">
        <v>61.62</v>
      </c>
      <c r="W96" s="34">
        <v>72.290000000000006</v>
      </c>
    </row>
    <row r="97" spans="1:23" ht="14.25" customHeight="1">
      <c r="A97" s="11"/>
      <c r="B97" s="11" t="s">
        <v>101</v>
      </c>
      <c r="C97" s="11">
        <v>88.23</v>
      </c>
      <c r="D97" s="30">
        <v>85.17</v>
      </c>
      <c r="E97" s="11">
        <f t="shared" si="0"/>
        <v>86.7</v>
      </c>
      <c r="S97" s="19"/>
      <c r="T97" s="31" t="s">
        <v>938</v>
      </c>
      <c r="U97" s="17">
        <v>84.39</v>
      </c>
      <c r="V97" s="15">
        <v>101.65</v>
      </c>
      <c r="W97" s="34">
        <v>93.02</v>
      </c>
    </row>
    <row r="98" spans="1:23" ht="14.25" customHeight="1">
      <c r="A98" s="11"/>
      <c r="B98" s="11" t="s">
        <v>102</v>
      </c>
      <c r="C98" s="11">
        <v>108.3</v>
      </c>
      <c r="D98" s="30">
        <v>95.04</v>
      </c>
      <c r="E98" s="11">
        <f t="shared" si="0"/>
        <v>101.67</v>
      </c>
      <c r="S98" s="19"/>
      <c r="T98" s="31" t="s">
        <v>939</v>
      </c>
      <c r="U98" s="17">
        <v>102.95</v>
      </c>
      <c r="V98" s="15">
        <v>103.25</v>
      </c>
      <c r="W98" s="34">
        <v>103.1</v>
      </c>
    </row>
    <row r="99" spans="1:23" ht="14.25" customHeight="1">
      <c r="A99" s="11"/>
      <c r="B99" s="11" t="s">
        <v>103</v>
      </c>
      <c r="C99" s="11">
        <v>81.180000000000007</v>
      </c>
      <c r="D99" s="30">
        <v>105.58</v>
      </c>
      <c r="E99" s="11">
        <f t="shared" si="0"/>
        <v>93.38</v>
      </c>
      <c r="S99" s="19"/>
      <c r="T99" s="31" t="s">
        <v>940</v>
      </c>
      <c r="U99" s="17">
        <v>78.849999999999994</v>
      </c>
      <c r="V99" s="15">
        <v>96.56</v>
      </c>
      <c r="W99" s="34">
        <v>87.71</v>
      </c>
    </row>
    <row r="100" spans="1:23" ht="14.25" customHeight="1">
      <c r="A100" s="11"/>
      <c r="B100" s="11" t="s">
        <v>104</v>
      </c>
      <c r="C100" s="11">
        <v>90.2</v>
      </c>
      <c r="D100" s="30">
        <v>88.46</v>
      </c>
      <c r="E100" s="11">
        <f t="shared" si="0"/>
        <v>89.33</v>
      </c>
      <c r="S100" s="19"/>
      <c r="T100" s="31" t="s">
        <v>941</v>
      </c>
      <c r="U100" s="17">
        <v>94.58</v>
      </c>
      <c r="V100" s="15">
        <v>108.07</v>
      </c>
      <c r="W100" s="34">
        <v>101.33</v>
      </c>
    </row>
    <row r="101" spans="1:23" ht="14.25" customHeight="1">
      <c r="A101" s="11"/>
      <c r="B101" s="11" t="s">
        <v>105</v>
      </c>
      <c r="C101" s="11">
        <v>87.42</v>
      </c>
      <c r="D101" s="30">
        <v>95.66</v>
      </c>
      <c r="E101" s="11">
        <f t="shared" si="0"/>
        <v>91.539999999999992</v>
      </c>
      <c r="S101" s="19"/>
      <c r="T101" s="31" t="s">
        <v>942</v>
      </c>
      <c r="U101" s="17">
        <v>74.709999999999994</v>
      </c>
      <c r="V101" s="15">
        <v>118.43</v>
      </c>
      <c r="W101" s="34">
        <v>96.57</v>
      </c>
    </row>
    <row r="102" spans="1:23" ht="14.25" customHeight="1">
      <c r="A102" s="11"/>
      <c r="B102" s="11" t="s">
        <v>106</v>
      </c>
      <c r="C102" s="11">
        <v>88.46</v>
      </c>
      <c r="D102" s="30">
        <v>108.5</v>
      </c>
      <c r="E102" s="11">
        <f t="shared" si="0"/>
        <v>98.47999999999999</v>
      </c>
      <c r="S102" s="19"/>
      <c r="T102" s="31" t="s">
        <v>943</v>
      </c>
      <c r="U102" s="17">
        <v>106.03</v>
      </c>
      <c r="V102" s="15">
        <v>147.36000000000001</v>
      </c>
      <c r="W102" s="34">
        <v>126.7</v>
      </c>
    </row>
    <row r="103" spans="1:23" ht="14.25" customHeight="1">
      <c r="A103" s="11"/>
      <c r="B103" s="11" t="s">
        <v>107</v>
      </c>
      <c r="C103" s="11">
        <v>73.37</v>
      </c>
      <c r="D103" s="30">
        <v>98.64</v>
      </c>
      <c r="E103" s="11">
        <f t="shared" si="0"/>
        <v>86.004999999999995</v>
      </c>
      <c r="S103" s="19"/>
      <c r="T103" s="31" t="s">
        <v>944</v>
      </c>
      <c r="U103" s="17">
        <v>94.79</v>
      </c>
      <c r="V103" s="15">
        <v>105.42</v>
      </c>
      <c r="W103" s="34">
        <v>100.11</v>
      </c>
    </row>
    <row r="104" spans="1:23" ht="14.25" customHeight="1">
      <c r="A104" s="11"/>
      <c r="B104" s="11" t="s">
        <v>108</v>
      </c>
      <c r="C104" s="11">
        <v>96.44</v>
      </c>
      <c r="D104" s="30">
        <v>97.22</v>
      </c>
      <c r="E104" s="11">
        <f t="shared" si="0"/>
        <v>96.83</v>
      </c>
      <c r="S104" s="19"/>
      <c r="T104" s="31" t="s">
        <v>945</v>
      </c>
      <c r="U104" s="17">
        <v>55.29</v>
      </c>
      <c r="V104" s="15">
        <v>98.44</v>
      </c>
      <c r="W104" s="34">
        <v>76.87</v>
      </c>
    </row>
    <row r="105" spans="1:23" ht="14.25" customHeight="1">
      <c r="A105" s="11"/>
      <c r="B105" s="11" t="s">
        <v>109</v>
      </c>
      <c r="C105" s="11">
        <v>90.14</v>
      </c>
      <c r="D105" s="30">
        <v>87.74</v>
      </c>
      <c r="E105" s="11">
        <f t="shared" si="0"/>
        <v>88.94</v>
      </c>
      <c r="S105" s="19"/>
      <c r="T105" s="31" t="s">
        <v>946</v>
      </c>
      <c r="U105" s="17">
        <v>107.13</v>
      </c>
      <c r="V105" s="15">
        <v>109.61</v>
      </c>
      <c r="W105" s="34">
        <v>108.37</v>
      </c>
    </row>
    <row r="106" spans="1:23" ht="14.25" customHeight="1">
      <c r="A106" s="11"/>
      <c r="B106" s="11" t="s">
        <v>110</v>
      </c>
      <c r="C106" s="11">
        <v>72.64</v>
      </c>
      <c r="D106" s="30">
        <v>89.58</v>
      </c>
      <c r="E106" s="11">
        <f t="shared" si="0"/>
        <v>81.11</v>
      </c>
      <c r="S106" s="19"/>
      <c r="T106" s="31" t="s">
        <v>947</v>
      </c>
      <c r="U106" s="17">
        <v>90.95</v>
      </c>
      <c r="V106" s="15">
        <v>90.76</v>
      </c>
      <c r="W106" s="34">
        <v>90.86</v>
      </c>
    </row>
    <row r="107" spans="1:23" ht="14.25" customHeight="1">
      <c r="A107" s="11"/>
      <c r="B107" s="11" t="s">
        <v>111</v>
      </c>
      <c r="C107" s="11">
        <v>89.23</v>
      </c>
      <c r="D107" s="30">
        <v>85.59</v>
      </c>
      <c r="E107" s="11">
        <f t="shared" si="0"/>
        <v>87.41</v>
      </c>
      <c r="S107" s="19"/>
      <c r="T107" s="31" t="s">
        <v>948</v>
      </c>
      <c r="U107" s="17">
        <v>93.98</v>
      </c>
      <c r="V107" s="15">
        <v>94.63</v>
      </c>
      <c r="W107" s="34">
        <v>94.31</v>
      </c>
    </row>
    <row r="108" spans="1:23" ht="14.25" customHeight="1">
      <c r="A108" s="11"/>
      <c r="B108" s="11" t="s">
        <v>112</v>
      </c>
      <c r="C108" s="11">
        <v>94.18</v>
      </c>
      <c r="D108" s="30">
        <v>84.33</v>
      </c>
      <c r="E108" s="11">
        <f t="shared" si="0"/>
        <v>89.254999999999995</v>
      </c>
      <c r="S108" s="19"/>
      <c r="T108" s="31" t="s">
        <v>949</v>
      </c>
      <c r="U108" s="17">
        <v>83.72</v>
      </c>
      <c r="V108" s="15">
        <v>95.82</v>
      </c>
      <c r="W108" s="34">
        <v>89.77</v>
      </c>
    </row>
    <row r="109" spans="1:23" ht="14.25" customHeight="1">
      <c r="A109" s="11"/>
      <c r="B109" s="11" t="s">
        <v>113</v>
      </c>
      <c r="C109" s="11">
        <v>102.83</v>
      </c>
      <c r="D109" s="30">
        <v>89.57</v>
      </c>
      <c r="E109" s="11">
        <f t="shared" si="0"/>
        <v>96.199999999999989</v>
      </c>
      <c r="S109" s="19"/>
      <c r="T109" s="31" t="s">
        <v>950</v>
      </c>
      <c r="U109" s="17">
        <v>50</v>
      </c>
      <c r="V109" s="15">
        <v>49.59</v>
      </c>
      <c r="W109" s="34">
        <v>49.8</v>
      </c>
    </row>
    <row r="110" spans="1:23" ht="14.25" customHeight="1">
      <c r="A110" s="11"/>
      <c r="B110" s="11" t="s">
        <v>114</v>
      </c>
      <c r="C110" s="11">
        <v>95.19</v>
      </c>
      <c r="D110" s="30">
        <v>98.83</v>
      </c>
      <c r="E110" s="11">
        <f t="shared" si="0"/>
        <v>97.009999999999991</v>
      </c>
      <c r="S110" s="19"/>
      <c r="T110" s="31" t="s">
        <v>951</v>
      </c>
      <c r="U110" s="17">
        <v>98.3</v>
      </c>
      <c r="V110" s="15">
        <v>90.04</v>
      </c>
      <c r="W110" s="34">
        <v>94.17</v>
      </c>
    </row>
    <row r="111" spans="1:23" ht="14.25" customHeight="1">
      <c r="A111" s="11"/>
      <c r="B111" s="11" t="s">
        <v>115</v>
      </c>
      <c r="C111" s="11">
        <v>91.24</v>
      </c>
      <c r="D111" s="30">
        <v>87.45</v>
      </c>
      <c r="E111" s="11">
        <f t="shared" si="0"/>
        <v>89.344999999999999</v>
      </c>
      <c r="S111" s="19"/>
      <c r="T111" s="31" t="s">
        <v>952</v>
      </c>
      <c r="U111" s="17">
        <v>84.88</v>
      </c>
      <c r="V111" s="15">
        <v>89.94</v>
      </c>
      <c r="W111" s="34">
        <v>87.41</v>
      </c>
    </row>
    <row r="112" spans="1:23" ht="14.25" customHeight="1">
      <c r="A112" s="11"/>
      <c r="B112" s="11" t="s">
        <v>116</v>
      </c>
      <c r="C112" s="11">
        <v>75.02</v>
      </c>
      <c r="D112" s="30">
        <v>99.24</v>
      </c>
      <c r="E112" s="11">
        <f t="shared" si="0"/>
        <v>87.13</v>
      </c>
      <c r="S112" s="19"/>
      <c r="T112" s="31" t="s">
        <v>953</v>
      </c>
      <c r="U112" s="17">
        <v>95.98</v>
      </c>
      <c r="V112" s="15">
        <v>107.53</v>
      </c>
      <c r="W112" s="34">
        <v>101.76</v>
      </c>
    </row>
    <row r="113" spans="1:23" ht="14.25" customHeight="1">
      <c r="A113" s="11"/>
      <c r="B113" s="11" t="s">
        <v>117</v>
      </c>
      <c r="C113" s="11">
        <v>102.68</v>
      </c>
      <c r="D113" s="30">
        <v>79.77</v>
      </c>
      <c r="E113" s="11">
        <f t="shared" si="0"/>
        <v>91.224999999999994</v>
      </c>
      <c r="S113" s="19"/>
      <c r="T113" s="31" t="s">
        <v>954</v>
      </c>
      <c r="U113" s="17">
        <v>95.32</v>
      </c>
      <c r="V113" s="15">
        <v>121.63</v>
      </c>
      <c r="W113" s="34">
        <v>108.48</v>
      </c>
    </row>
    <row r="114" spans="1:23" ht="14.25" customHeight="1">
      <c r="A114" s="11"/>
      <c r="B114" s="11" t="s">
        <v>118</v>
      </c>
      <c r="C114" s="11">
        <v>91.29</v>
      </c>
      <c r="D114" s="30">
        <v>111.31</v>
      </c>
      <c r="E114" s="11">
        <f t="shared" si="0"/>
        <v>101.30000000000001</v>
      </c>
      <c r="S114" s="19"/>
      <c r="T114" s="31" t="s">
        <v>955</v>
      </c>
      <c r="U114" s="17">
        <v>93.37</v>
      </c>
      <c r="V114" s="15">
        <v>116.66</v>
      </c>
      <c r="W114" s="34">
        <v>105.02</v>
      </c>
    </row>
    <row r="115" spans="1:23" ht="14.25" customHeight="1">
      <c r="A115" s="11"/>
      <c r="B115" s="11" t="s">
        <v>119</v>
      </c>
      <c r="C115" s="11">
        <v>120.48</v>
      </c>
      <c r="D115" s="30">
        <v>84.17</v>
      </c>
      <c r="E115" s="11">
        <f t="shared" si="0"/>
        <v>102.325</v>
      </c>
      <c r="S115" s="19"/>
      <c r="T115" s="31" t="s">
        <v>956</v>
      </c>
      <c r="U115" s="17">
        <v>64.91</v>
      </c>
      <c r="V115" s="15">
        <v>133.21</v>
      </c>
      <c r="W115" s="34">
        <v>99.06</v>
      </c>
    </row>
    <row r="116" spans="1:23" ht="14.25" customHeight="1">
      <c r="A116" s="11"/>
      <c r="B116" s="11" t="s">
        <v>120</v>
      </c>
      <c r="C116" s="11">
        <v>86.29</v>
      </c>
      <c r="D116" s="30">
        <v>108.34</v>
      </c>
      <c r="E116" s="11">
        <f t="shared" si="0"/>
        <v>97.314999999999998</v>
      </c>
      <c r="S116" s="19"/>
      <c r="T116" s="31" t="s">
        <v>957</v>
      </c>
      <c r="U116" s="17">
        <v>85.74</v>
      </c>
      <c r="V116" s="15">
        <v>106.84</v>
      </c>
      <c r="W116" s="34">
        <v>96.29</v>
      </c>
    </row>
    <row r="117" spans="1:23" ht="14.25" customHeight="1">
      <c r="A117" s="11"/>
      <c r="B117" s="11" t="s">
        <v>121</v>
      </c>
      <c r="C117" s="11">
        <v>101.23</v>
      </c>
      <c r="D117" s="30">
        <v>92.72</v>
      </c>
      <c r="E117" s="11">
        <f t="shared" si="0"/>
        <v>96.974999999999994</v>
      </c>
      <c r="S117" s="19"/>
      <c r="T117" s="31" t="s">
        <v>958</v>
      </c>
      <c r="U117" s="17">
        <v>93.91</v>
      </c>
      <c r="V117" s="15">
        <v>92.92</v>
      </c>
      <c r="W117" s="34">
        <v>93.42</v>
      </c>
    </row>
    <row r="118" spans="1:23" ht="14.25" customHeight="1">
      <c r="A118" s="11"/>
      <c r="B118" s="11" t="s">
        <v>122</v>
      </c>
      <c r="C118" s="11">
        <v>87.78</v>
      </c>
      <c r="D118" s="30">
        <v>94.08</v>
      </c>
      <c r="E118" s="11">
        <f t="shared" si="0"/>
        <v>90.93</v>
      </c>
      <c r="S118" s="19"/>
      <c r="T118" s="31" t="s">
        <v>959</v>
      </c>
      <c r="U118" s="17">
        <v>84.02</v>
      </c>
      <c r="V118" s="15">
        <v>96.84</v>
      </c>
      <c r="W118" s="34">
        <v>90.43</v>
      </c>
    </row>
    <row r="119" spans="1:23" ht="14.25" customHeight="1">
      <c r="A119" s="11"/>
      <c r="B119" s="11" t="s">
        <v>123</v>
      </c>
      <c r="C119" s="11">
        <v>89.37</v>
      </c>
      <c r="D119" s="30">
        <v>91.31</v>
      </c>
      <c r="E119" s="11">
        <f t="shared" si="0"/>
        <v>90.34</v>
      </c>
      <c r="S119" s="19"/>
      <c r="T119" s="31" t="s">
        <v>960</v>
      </c>
      <c r="U119" s="17">
        <v>106.74</v>
      </c>
      <c r="V119" s="15">
        <v>101.89</v>
      </c>
      <c r="W119" s="34">
        <v>104.32</v>
      </c>
    </row>
    <row r="120" spans="1:23" ht="14.25" customHeight="1">
      <c r="A120" s="11"/>
      <c r="B120" s="11" t="s">
        <v>124</v>
      </c>
      <c r="C120" s="11">
        <v>77.739999999999995</v>
      </c>
      <c r="D120" s="30">
        <v>95.04</v>
      </c>
      <c r="E120" s="11">
        <f t="shared" si="0"/>
        <v>86.39</v>
      </c>
      <c r="S120" s="19"/>
      <c r="T120" s="31" t="s">
        <v>961</v>
      </c>
      <c r="U120" s="17">
        <v>86.67</v>
      </c>
      <c r="V120" s="15">
        <v>98.53</v>
      </c>
      <c r="W120" s="34">
        <v>92.6</v>
      </c>
    </row>
    <row r="121" spans="1:23" ht="14.25" customHeight="1">
      <c r="A121" s="11"/>
      <c r="B121" s="11" t="s">
        <v>125</v>
      </c>
      <c r="C121" s="11">
        <v>99.14</v>
      </c>
      <c r="D121" s="30">
        <v>87.68</v>
      </c>
      <c r="E121" s="11">
        <f t="shared" si="0"/>
        <v>93.41</v>
      </c>
      <c r="S121" s="19"/>
      <c r="T121" s="31" t="s">
        <v>962</v>
      </c>
      <c r="U121" s="17">
        <v>89.8</v>
      </c>
      <c r="V121" s="15">
        <v>105.97</v>
      </c>
      <c r="W121" s="34">
        <v>97.89</v>
      </c>
    </row>
    <row r="122" spans="1:23" ht="14.25" customHeight="1">
      <c r="A122" s="11"/>
      <c r="B122" s="11" t="s">
        <v>126</v>
      </c>
      <c r="C122" s="11">
        <v>90.54</v>
      </c>
      <c r="D122" s="30">
        <v>77.180000000000007</v>
      </c>
      <c r="E122" s="11">
        <f t="shared" si="0"/>
        <v>83.860000000000014</v>
      </c>
      <c r="S122" s="19"/>
      <c r="T122" s="31" t="s">
        <v>963</v>
      </c>
      <c r="U122" s="17">
        <v>92.81</v>
      </c>
      <c r="V122" s="15">
        <v>101.38</v>
      </c>
      <c r="W122" s="34">
        <v>97.1</v>
      </c>
    </row>
    <row r="123" spans="1:23" ht="14.25" customHeight="1">
      <c r="A123" s="11"/>
      <c r="B123" s="11" t="s">
        <v>127</v>
      </c>
      <c r="C123" s="11">
        <v>81.5</v>
      </c>
      <c r="D123" s="30">
        <v>93.72</v>
      </c>
      <c r="E123" s="11">
        <f t="shared" si="0"/>
        <v>87.61</v>
      </c>
      <c r="S123" s="19"/>
      <c r="T123" s="31" t="s">
        <v>964</v>
      </c>
      <c r="U123" s="17">
        <v>53.52</v>
      </c>
      <c r="V123" s="15">
        <v>122.74</v>
      </c>
      <c r="W123" s="34">
        <v>88.13</v>
      </c>
    </row>
    <row r="124" spans="1:23" ht="14.25" customHeight="1">
      <c r="A124" s="11"/>
      <c r="B124" s="11" t="s">
        <v>128</v>
      </c>
      <c r="C124" s="11">
        <v>92.03</v>
      </c>
      <c r="D124" s="30">
        <v>91.37</v>
      </c>
      <c r="E124" s="11">
        <f t="shared" si="0"/>
        <v>91.7</v>
      </c>
      <c r="S124" s="19"/>
      <c r="T124" s="31" t="s">
        <v>965</v>
      </c>
      <c r="U124" s="17">
        <v>77.17</v>
      </c>
      <c r="V124" s="15">
        <v>96.17</v>
      </c>
      <c r="W124" s="34">
        <v>86.67</v>
      </c>
    </row>
    <row r="125" spans="1:23" ht="14.25" customHeight="1">
      <c r="A125" s="11"/>
      <c r="B125" s="11" t="s">
        <v>129</v>
      </c>
      <c r="C125" s="11">
        <v>87.44</v>
      </c>
      <c r="D125" s="30">
        <v>93.4</v>
      </c>
      <c r="E125" s="11">
        <f t="shared" si="0"/>
        <v>90.42</v>
      </c>
      <c r="S125" s="19"/>
      <c r="T125" s="31" t="s">
        <v>966</v>
      </c>
      <c r="U125" s="17">
        <v>120.57</v>
      </c>
      <c r="V125" s="15">
        <v>83.49</v>
      </c>
      <c r="W125" s="34">
        <v>102.03</v>
      </c>
    </row>
    <row r="126" spans="1:23" ht="14.25" customHeight="1">
      <c r="A126" s="11"/>
      <c r="B126" s="11" t="s">
        <v>130</v>
      </c>
      <c r="C126" s="11">
        <v>81.64</v>
      </c>
      <c r="D126" s="30">
        <v>100.75</v>
      </c>
      <c r="E126" s="11">
        <f t="shared" si="0"/>
        <v>91.194999999999993</v>
      </c>
      <c r="S126" s="19"/>
      <c r="T126" s="31" t="s">
        <v>967</v>
      </c>
      <c r="U126" s="17">
        <v>112.16</v>
      </c>
      <c r="V126" s="15">
        <v>112.87</v>
      </c>
      <c r="W126" s="34">
        <v>112.52</v>
      </c>
    </row>
    <row r="127" spans="1:23" ht="14.25" customHeight="1">
      <c r="A127" s="11"/>
      <c r="B127" s="11" t="s">
        <v>131</v>
      </c>
      <c r="C127" s="11">
        <v>68.459999999999994</v>
      </c>
      <c r="D127" s="30">
        <v>103.18</v>
      </c>
      <c r="E127" s="11">
        <f t="shared" si="0"/>
        <v>85.82</v>
      </c>
      <c r="S127" s="19"/>
      <c r="T127" s="31" t="s">
        <v>968</v>
      </c>
      <c r="U127" s="17">
        <v>92.98</v>
      </c>
      <c r="V127" s="15">
        <v>112.69</v>
      </c>
      <c r="W127" s="34">
        <v>102.84</v>
      </c>
    </row>
    <row r="128" spans="1:23" ht="14.25" customHeight="1">
      <c r="A128" s="11"/>
      <c r="B128" s="11" t="s">
        <v>132</v>
      </c>
      <c r="C128" s="11">
        <v>93.99</v>
      </c>
      <c r="D128" s="30">
        <v>92.89</v>
      </c>
      <c r="E128" s="11">
        <f t="shared" si="0"/>
        <v>93.44</v>
      </c>
      <c r="S128" s="19"/>
      <c r="T128" s="31" t="s">
        <v>969</v>
      </c>
      <c r="U128" s="17">
        <v>96.63</v>
      </c>
      <c r="V128" s="15">
        <v>83.3</v>
      </c>
      <c r="W128" s="34">
        <v>89.97</v>
      </c>
    </row>
    <row r="129" spans="1:23" ht="14.25" customHeight="1">
      <c r="A129" s="11"/>
      <c r="B129" s="11" t="s">
        <v>133</v>
      </c>
      <c r="C129" s="11">
        <v>87.03</v>
      </c>
      <c r="D129" s="30">
        <v>93.92</v>
      </c>
      <c r="E129" s="11">
        <f t="shared" si="0"/>
        <v>90.474999999999994</v>
      </c>
      <c r="S129" s="19"/>
      <c r="T129" s="31" t="s">
        <v>970</v>
      </c>
      <c r="U129" s="17">
        <v>75.319999999999993</v>
      </c>
      <c r="V129" s="15">
        <v>106.66</v>
      </c>
      <c r="W129" s="34">
        <v>90.99</v>
      </c>
    </row>
    <row r="130" spans="1:23" ht="14.25" customHeight="1">
      <c r="A130" s="11"/>
      <c r="B130" s="11" t="s">
        <v>134</v>
      </c>
      <c r="C130" s="11">
        <v>83.99</v>
      </c>
      <c r="D130" s="30">
        <v>93.31</v>
      </c>
      <c r="E130" s="11">
        <f t="shared" si="0"/>
        <v>88.65</v>
      </c>
      <c r="S130" s="19"/>
      <c r="T130" s="31" t="s">
        <v>971</v>
      </c>
      <c r="U130" s="17">
        <v>91.8</v>
      </c>
      <c r="V130" s="15">
        <v>99.39</v>
      </c>
      <c r="W130" s="34">
        <v>95.6</v>
      </c>
    </row>
    <row r="131" spans="1:23" ht="14.25" customHeight="1">
      <c r="A131" s="11"/>
      <c r="B131" s="11" t="s">
        <v>135</v>
      </c>
      <c r="C131" s="11">
        <v>83.72</v>
      </c>
      <c r="D131" s="30">
        <v>89.3</v>
      </c>
      <c r="E131" s="11">
        <f t="shared" si="0"/>
        <v>86.509999999999991</v>
      </c>
      <c r="S131" s="19"/>
      <c r="T131" s="31" t="s">
        <v>972</v>
      </c>
      <c r="U131" s="17">
        <v>75.900000000000006</v>
      </c>
      <c r="V131" s="15">
        <v>125.2</v>
      </c>
      <c r="W131" s="34">
        <v>100.55</v>
      </c>
    </row>
    <row r="132" spans="1:23" ht="14.25" customHeight="1">
      <c r="A132" s="11"/>
      <c r="B132" s="11" t="s">
        <v>136</v>
      </c>
      <c r="C132" s="11">
        <v>81.89</v>
      </c>
      <c r="D132" s="30">
        <v>89.26</v>
      </c>
      <c r="E132" s="11">
        <f t="shared" si="0"/>
        <v>85.575000000000003</v>
      </c>
      <c r="S132" s="19"/>
      <c r="T132" s="31" t="s">
        <v>973</v>
      </c>
      <c r="U132" s="17">
        <v>66.95</v>
      </c>
      <c r="V132" s="15">
        <v>110.76</v>
      </c>
      <c r="W132" s="34">
        <v>88.86</v>
      </c>
    </row>
    <row r="133" spans="1:23" ht="14.25" customHeight="1">
      <c r="A133" s="11"/>
      <c r="B133" s="11" t="s">
        <v>137</v>
      </c>
      <c r="C133" s="11">
        <v>85.33</v>
      </c>
      <c r="D133" s="30">
        <v>91.15</v>
      </c>
      <c r="E133" s="11">
        <f t="shared" si="0"/>
        <v>88.240000000000009</v>
      </c>
      <c r="S133" s="19"/>
      <c r="T133" s="31" t="s">
        <v>723</v>
      </c>
      <c r="U133" s="17">
        <v>81.66</v>
      </c>
      <c r="V133" s="15">
        <v>99.72</v>
      </c>
      <c r="W133" s="34">
        <v>90.69</v>
      </c>
    </row>
    <row r="134" spans="1:23" ht="14.25" customHeight="1">
      <c r="A134" s="11"/>
      <c r="B134" s="11" t="s">
        <v>138</v>
      </c>
      <c r="C134" s="11">
        <v>95.18</v>
      </c>
      <c r="D134" s="30">
        <v>89.82</v>
      </c>
      <c r="E134" s="11">
        <f t="shared" si="0"/>
        <v>92.5</v>
      </c>
      <c r="S134" s="19"/>
      <c r="T134" s="31" t="s">
        <v>974</v>
      </c>
      <c r="U134" s="17">
        <v>95.04</v>
      </c>
      <c r="V134" s="15">
        <v>92.87</v>
      </c>
      <c r="W134" s="34">
        <v>93.96</v>
      </c>
    </row>
    <row r="135" spans="1:23" ht="14.25" customHeight="1">
      <c r="A135" s="11"/>
      <c r="B135" s="11" t="s">
        <v>139</v>
      </c>
      <c r="C135" s="11">
        <v>92.18</v>
      </c>
      <c r="D135" s="30">
        <v>92.45</v>
      </c>
      <c r="E135" s="11">
        <f t="shared" si="0"/>
        <v>92.314999999999998</v>
      </c>
      <c r="S135" s="19"/>
      <c r="T135" s="31" t="s">
        <v>975</v>
      </c>
      <c r="U135" s="17">
        <v>97.75</v>
      </c>
      <c r="V135" s="15">
        <v>111.41</v>
      </c>
      <c r="W135" s="34">
        <v>104.58</v>
      </c>
    </row>
    <row r="136" spans="1:23" ht="14.25" customHeight="1">
      <c r="A136" s="11"/>
      <c r="B136" s="11" t="s">
        <v>140</v>
      </c>
      <c r="C136" s="11">
        <v>81.02</v>
      </c>
      <c r="D136" s="30">
        <v>87.84</v>
      </c>
      <c r="E136" s="11">
        <f t="shared" si="0"/>
        <v>84.43</v>
      </c>
      <c r="S136" s="19"/>
      <c r="T136" s="31" t="s">
        <v>976</v>
      </c>
      <c r="U136" s="17">
        <v>128.53</v>
      </c>
      <c r="V136" s="15">
        <v>99.15</v>
      </c>
      <c r="W136" s="34">
        <v>113.84</v>
      </c>
    </row>
    <row r="137" spans="1:23" ht="14.25" customHeight="1">
      <c r="A137" s="11"/>
      <c r="B137" s="11" t="s">
        <v>141</v>
      </c>
      <c r="C137" s="11">
        <v>90.18</v>
      </c>
      <c r="D137" s="30">
        <v>91.14</v>
      </c>
      <c r="E137" s="11">
        <f t="shared" si="0"/>
        <v>90.66</v>
      </c>
      <c r="S137" s="19"/>
      <c r="T137" s="31" t="s">
        <v>977</v>
      </c>
      <c r="U137" s="17">
        <v>107.15</v>
      </c>
      <c r="V137" s="15">
        <v>110.31</v>
      </c>
      <c r="W137" s="34">
        <v>108.73</v>
      </c>
    </row>
    <row r="138" spans="1:23" ht="14.25" customHeight="1">
      <c r="A138" s="11"/>
      <c r="B138" s="11" t="s">
        <v>142</v>
      </c>
      <c r="C138" s="11">
        <v>124.57</v>
      </c>
      <c r="D138" s="30">
        <v>86.1</v>
      </c>
      <c r="E138" s="11">
        <f t="shared" si="0"/>
        <v>105.33499999999999</v>
      </c>
      <c r="S138" s="19"/>
      <c r="T138" s="31" t="s">
        <v>978</v>
      </c>
      <c r="U138" s="17">
        <v>104.34</v>
      </c>
      <c r="V138" s="15">
        <v>94.19</v>
      </c>
      <c r="W138" s="34">
        <v>99.27</v>
      </c>
    </row>
    <row r="139" spans="1:23" ht="14.25" customHeight="1">
      <c r="A139" s="11"/>
      <c r="B139" s="11" t="s">
        <v>143</v>
      </c>
      <c r="C139" s="11">
        <v>75.260000000000005</v>
      </c>
      <c r="D139" s="30">
        <v>106.09</v>
      </c>
      <c r="E139" s="11">
        <f t="shared" si="0"/>
        <v>90.675000000000011</v>
      </c>
      <c r="S139" s="19"/>
      <c r="T139" s="31" t="s">
        <v>979</v>
      </c>
      <c r="U139" s="17">
        <v>80.48</v>
      </c>
      <c r="V139" s="15">
        <v>90.08</v>
      </c>
      <c r="W139" s="34">
        <v>85.28</v>
      </c>
    </row>
    <row r="140" spans="1:23" ht="14.25" customHeight="1">
      <c r="A140" s="11"/>
      <c r="B140" s="11" t="s">
        <v>144</v>
      </c>
      <c r="C140" s="11">
        <v>80.239999999999995</v>
      </c>
      <c r="D140" s="30">
        <v>59.5</v>
      </c>
      <c r="E140" s="11">
        <f t="shared" si="0"/>
        <v>69.87</v>
      </c>
      <c r="S140" s="19"/>
      <c r="T140" s="31" t="s">
        <v>980</v>
      </c>
      <c r="U140" s="17">
        <v>75.22</v>
      </c>
      <c r="V140" s="15">
        <v>119.94</v>
      </c>
      <c r="W140" s="34">
        <v>97.58</v>
      </c>
    </row>
    <row r="141" spans="1:23" ht="14.25" customHeight="1">
      <c r="A141" s="11"/>
      <c r="B141" s="11" t="s">
        <v>145</v>
      </c>
      <c r="C141" s="11">
        <v>82.32</v>
      </c>
      <c r="D141" s="30">
        <v>82.32</v>
      </c>
      <c r="E141" s="11">
        <f t="shared" si="0"/>
        <v>82.32</v>
      </c>
      <c r="S141" s="19"/>
      <c r="T141" s="31" t="s">
        <v>981</v>
      </c>
      <c r="U141" s="17">
        <v>28.27</v>
      </c>
      <c r="V141" s="15">
        <v>107.54</v>
      </c>
      <c r="W141" s="34">
        <v>67.91</v>
      </c>
    </row>
    <row r="142" spans="1:23" ht="14.25" customHeight="1">
      <c r="A142" s="11"/>
      <c r="B142" s="11" t="s">
        <v>146</v>
      </c>
      <c r="C142" s="11">
        <v>84.55</v>
      </c>
      <c r="D142" s="30">
        <v>96.08</v>
      </c>
      <c r="E142" s="11">
        <f t="shared" si="0"/>
        <v>90.314999999999998</v>
      </c>
      <c r="S142" s="19"/>
      <c r="T142" s="31" t="s">
        <v>982</v>
      </c>
      <c r="U142" s="17">
        <v>83.18</v>
      </c>
      <c r="V142" s="15">
        <v>104.72</v>
      </c>
      <c r="W142" s="34">
        <v>93.95</v>
      </c>
    </row>
    <row r="143" spans="1:23" ht="14.25" customHeight="1">
      <c r="A143" s="11"/>
      <c r="B143" s="11" t="s">
        <v>147</v>
      </c>
      <c r="C143" s="11">
        <v>94.16</v>
      </c>
      <c r="D143" s="30">
        <v>94.72</v>
      </c>
      <c r="E143" s="11">
        <f t="shared" si="0"/>
        <v>94.44</v>
      </c>
      <c r="S143" s="19"/>
      <c r="T143" s="31" t="s">
        <v>983</v>
      </c>
      <c r="U143" s="17">
        <v>45.43</v>
      </c>
      <c r="V143" s="15">
        <v>92.56</v>
      </c>
      <c r="W143" s="34">
        <v>69</v>
      </c>
    </row>
    <row r="144" spans="1:23" ht="14.25" customHeight="1">
      <c r="A144" s="11"/>
      <c r="B144" s="11" t="s">
        <v>148</v>
      </c>
      <c r="C144" s="11">
        <v>103.71</v>
      </c>
      <c r="D144" s="30">
        <v>92.16</v>
      </c>
      <c r="E144" s="11">
        <f t="shared" si="0"/>
        <v>97.935000000000002</v>
      </c>
      <c r="S144" s="19"/>
      <c r="T144" s="31" t="s">
        <v>984</v>
      </c>
      <c r="U144" s="17">
        <v>71.650000000000006</v>
      </c>
      <c r="V144" s="15">
        <v>88.35</v>
      </c>
      <c r="W144" s="34">
        <v>80</v>
      </c>
    </row>
    <row r="145" spans="1:23" ht="14.25" customHeight="1">
      <c r="A145" s="11"/>
      <c r="B145" s="11" t="s">
        <v>149</v>
      </c>
      <c r="C145" s="11">
        <v>84.33</v>
      </c>
      <c r="D145" s="30">
        <v>80.459999999999994</v>
      </c>
      <c r="E145" s="11">
        <f t="shared" si="0"/>
        <v>82.394999999999996</v>
      </c>
      <c r="S145" s="19"/>
      <c r="T145" s="31" t="s">
        <v>985</v>
      </c>
      <c r="U145" s="17">
        <v>220.35</v>
      </c>
      <c r="V145" s="15">
        <v>107.09</v>
      </c>
      <c r="W145" s="34">
        <v>163.72</v>
      </c>
    </row>
    <row r="146" spans="1:23" ht="14.25" customHeight="1">
      <c r="A146" s="11"/>
      <c r="B146" s="11" t="s">
        <v>150</v>
      </c>
      <c r="C146" s="11">
        <v>82.02</v>
      </c>
      <c r="D146" s="30">
        <v>144.44</v>
      </c>
      <c r="E146" s="11">
        <f t="shared" si="0"/>
        <v>113.22999999999999</v>
      </c>
      <c r="S146" s="19"/>
      <c r="T146" s="31" t="s">
        <v>986</v>
      </c>
      <c r="U146" s="17">
        <v>94.17</v>
      </c>
      <c r="V146" s="15">
        <v>101.96</v>
      </c>
      <c r="W146" s="34">
        <v>98.07</v>
      </c>
    </row>
    <row r="147" spans="1:23" ht="14.25" customHeight="1">
      <c r="A147" s="11"/>
      <c r="B147" s="11" t="s">
        <v>151</v>
      </c>
      <c r="C147" s="11">
        <v>90.75</v>
      </c>
      <c r="D147" s="30">
        <v>92.17</v>
      </c>
      <c r="E147" s="11">
        <f t="shared" si="0"/>
        <v>91.460000000000008</v>
      </c>
      <c r="S147" s="19"/>
      <c r="T147" s="31" t="s">
        <v>987</v>
      </c>
      <c r="U147" s="17">
        <v>119.96</v>
      </c>
      <c r="V147" s="15">
        <v>92.26</v>
      </c>
      <c r="W147" s="34">
        <v>106.11</v>
      </c>
    </row>
    <row r="148" spans="1:23" ht="14.25" customHeight="1">
      <c r="A148" s="11"/>
      <c r="B148" s="11" t="s">
        <v>152</v>
      </c>
      <c r="C148" s="11">
        <v>87.88</v>
      </c>
      <c r="D148" s="30">
        <v>89.49</v>
      </c>
      <c r="E148" s="11">
        <f t="shared" si="0"/>
        <v>88.685000000000002</v>
      </c>
      <c r="S148" s="19"/>
      <c r="T148" s="31" t="s">
        <v>988</v>
      </c>
      <c r="U148" s="17">
        <v>100.11</v>
      </c>
      <c r="V148" s="15">
        <v>87.48</v>
      </c>
      <c r="W148" s="34">
        <v>93.8</v>
      </c>
    </row>
    <row r="149" spans="1:23" ht="14.25" customHeight="1">
      <c r="A149" s="11"/>
      <c r="B149" s="11" t="s">
        <v>153</v>
      </c>
      <c r="C149" s="11">
        <v>96.49</v>
      </c>
      <c r="D149" s="30">
        <v>104.41</v>
      </c>
      <c r="E149" s="11">
        <f t="shared" si="0"/>
        <v>100.44999999999999</v>
      </c>
      <c r="S149" s="19"/>
      <c r="T149" s="31" t="s">
        <v>989</v>
      </c>
      <c r="U149" s="17">
        <v>95.61</v>
      </c>
      <c r="V149" s="15">
        <v>108.03</v>
      </c>
      <c r="W149" s="34">
        <v>101.82</v>
      </c>
    </row>
    <row r="150" spans="1:23" ht="14.25" customHeight="1">
      <c r="A150" s="11"/>
      <c r="B150" s="11" t="s">
        <v>154</v>
      </c>
      <c r="C150" s="11">
        <v>92.46</v>
      </c>
      <c r="D150" s="30">
        <v>85.92</v>
      </c>
      <c r="E150" s="11">
        <f t="shared" si="0"/>
        <v>89.19</v>
      </c>
      <c r="S150" s="19"/>
      <c r="T150" s="31" t="s">
        <v>990</v>
      </c>
      <c r="U150" s="17">
        <v>71.510000000000005</v>
      </c>
      <c r="V150" s="15">
        <v>98.88</v>
      </c>
      <c r="W150" s="34">
        <v>85.2</v>
      </c>
    </row>
    <row r="151" spans="1:23" ht="14.25" customHeight="1">
      <c r="A151" s="11"/>
      <c r="B151" s="11" t="s">
        <v>155</v>
      </c>
      <c r="C151" s="11">
        <v>84.16</v>
      </c>
      <c r="D151" s="30">
        <v>97.83</v>
      </c>
      <c r="E151" s="11">
        <f t="shared" si="0"/>
        <v>90.995000000000005</v>
      </c>
      <c r="S151" s="19"/>
      <c r="T151" s="31" t="s">
        <v>991</v>
      </c>
      <c r="U151" s="17">
        <v>96.62</v>
      </c>
      <c r="V151" s="15">
        <v>107.67</v>
      </c>
      <c r="W151" s="34">
        <v>102.15</v>
      </c>
    </row>
    <row r="152" spans="1:23" ht="14.25" customHeight="1">
      <c r="A152" s="11"/>
      <c r="B152" s="11" t="s">
        <v>156</v>
      </c>
      <c r="C152" s="11">
        <v>94.58</v>
      </c>
      <c r="D152" s="30">
        <v>90.69</v>
      </c>
      <c r="E152" s="11">
        <f t="shared" si="0"/>
        <v>92.634999999999991</v>
      </c>
      <c r="S152" s="19"/>
      <c r="T152" s="31" t="s">
        <v>992</v>
      </c>
      <c r="U152" s="17">
        <v>98.97</v>
      </c>
      <c r="V152" s="15">
        <v>94.18</v>
      </c>
      <c r="W152" s="34">
        <v>96.58</v>
      </c>
    </row>
    <row r="153" spans="1:23" ht="14.25" customHeight="1">
      <c r="A153" s="11"/>
      <c r="B153" s="11" t="s">
        <v>157</v>
      </c>
      <c r="C153" s="11">
        <v>102.43</v>
      </c>
      <c r="D153" s="30">
        <v>93.54</v>
      </c>
      <c r="E153" s="11">
        <f t="shared" si="0"/>
        <v>97.985000000000014</v>
      </c>
      <c r="S153" s="19"/>
      <c r="T153" s="31" t="s">
        <v>993</v>
      </c>
      <c r="U153" s="17">
        <v>98.21</v>
      </c>
      <c r="V153" s="15">
        <v>112.24</v>
      </c>
      <c r="W153" s="34">
        <v>105.23</v>
      </c>
    </row>
    <row r="154" spans="1:23" ht="14.25" customHeight="1">
      <c r="A154" s="11"/>
      <c r="B154" s="11" t="s">
        <v>158</v>
      </c>
      <c r="C154" s="11">
        <v>85.62</v>
      </c>
      <c r="D154" s="30">
        <v>99.62</v>
      </c>
      <c r="E154" s="11">
        <f t="shared" si="0"/>
        <v>92.62</v>
      </c>
      <c r="S154" s="19"/>
      <c r="T154" s="31" t="s">
        <v>994</v>
      </c>
      <c r="U154" s="17">
        <v>53.77</v>
      </c>
      <c r="V154" s="15">
        <v>107.97</v>
      </c>
      <c r="W154" s="34">
        <v>80.87</v>
      </c>
    </row>
    <row r="155" spans="1:23" ht="14.25" customHeight="1">
      <c r="A155" s="11"/>
      <c r="B155" s="11" t="s">
        <v>159</v>
      </c>
      <c r="C155" s="11">
        <v>82.67</v>
      </c>
      <c r="D155" s="30">
        <v>95.26</v>
      </c>
      <c r="E155" s="11">
        <f t="shared" si="0"/>
        <v>88.965000000000003</v>
      </c>
      <c r="S155" s="19"/>
      <c r="T155" s="31" t="s">
        <v>995</v>
      </c>
      <c r="U155" s="17">
        <v>93.69</v>
      </c>
      <c r="V155" s="15">
        <v>93.02</v>
      </c>
      <c r="W155" s="34">
        <v>93.36</v>
      </c>
    </row>
    <row r="156" spans="1:23" ht="14.25" customHeight="1">
      <c r="A156" s="11"/>
      <c r="B156" s="11" t="s">
        <v>160</v>
      </c>
      <c r="C156" s="11">
        <v>83.94</v>
      </c>
      <c r="D156" s="30">
        <v>94.61</v>
      </c>
      <c r="E156" s="11">
        <f t="shared" si="0"/>
        <v>89.275000000000006</v>
      </c>
      <c r="S156" s="19"/>
      <c r="T156" s="31" t="s">
        <v>996</v>
      </c>
      <c r="U156" s="17">
        <v>70.53</v>
      </c>
      <c r="V156" s="15">
        <v>97.39</v>
      </c>
      <c r="W156" s="34">
        <v>83.96</v>
      </c>
    </row>
    <row r="157" spans="1:23" ht="14.25" customHeight="1">
      <c r="A157" s="11"/>
      <c r="B157" s="11" t="s">
        <v>161</v>
      </c>
      <c r="C157" s="11">
        <v>93.97</v>
      </c>
      <c r="D157" s="30">
        <v>91.32</v>
      </c>
      <c r="E157" s="11">
        <f t="shared" si="0"/>
        <v>92.644999999999996</v>
      </c>
      <c r="S157" s="19"/>
      <c r="T157" s="31" t="s">
        <v>997</v>
      </c>
      <c r="U157" s="17">
        <v>83.35</v>
      </c>
      <c r="V157" s="15">
        <v>97.41</v>
      </c>
      <c r="W157" s="34">
        <v>90.38</v>
      </c>
    </row>
    <row r="158" spans="1:23" ht="14.25" customHeight="1">
      <c r="A158" s="11"/>
      <c r="B158" s="11" t="s">
        <v>162</v>
      </c>
      <c r="C158" s="11">
        <v>81.16</v>
      </c>
      <c r="D158" s="30">
        <v>87.95</v>
      </c>
      <c r="E158" s="11">
        <f t="shared" si="0"/>
        <v>84.555000000000007</v>
      </c>
      <c r="S158" s="19"/>
      <c r="T158" s="31" t="s">
        <v>998</v>
      </c>
      <c r="U158" s="17">
        <v>91.52</v>
      </c>
      <c r="V158" s="15">
        <v>87.28</v>
      </c>
      <c r="W158" s="34">
        <v>89.4</v>
      </c>
    </row>
    <row r="159" spans="1:23" ht="14.25" customHeight="1">
      <c r="A159" s="11"/>
      <c r="B159" s="11" t="s">
        <v>163</v>
      </c>
      <c r="C159" s="11">
        <v>83.41</v>
      </c>
      <c r="D159" s="30">
        <v>88.37</v>
      </c>
      <c r="E159" s="11">
        <f t="shared" si="0"/>
        <v>85.89</v>
      </c>
      <c r="S159" s="19"/>
      <c r="T159" s="31" t="s">
        <v>999</v>
      </c>
      <c r="U159" s="17">
        <v>104.72</v>
      </c>
      <c r="V159" s="15">
        <v>96.6</v>
      </c>
      <c r="W159" s="34">
        <v>100.66</v>
      </c>
    </row>
    <row r="160" spans="1:23" ht="14.25" customHeight="1">
      <c r="A160" s="11"/>
      <c r="B160" s="11" t="s">
        <v>164</v>
      </c>
      <c r="C160" s="11">
        <v>98.27</v>
      </c>
      <c r="D160" s="30">
        <v>97.81</v>
      </c>
      <c r="E160" s="11">
        <f t="shared" si="0"/>
        <v>98.039999999999992</v>
      </c>
      <c r="S160" s="19"/>
      <c r="T160" s="31" t="s">
        <v>1000</v>
      </c>
      <c r="U160" s="17">
        <v>102.26</v>
      </c>
      <c r="V160" s="15">
        <v>95.57</v>
      </c>
      <c r="W160" s="34">
        <v>98.92</v>
      </c>
    </row>
    <row r="161" spans="1:23" ht="14.25" customHeight="1">
      <c r="A161" s="11"/>
      <c r="B161" s="11" t="s">
        <v>165</v>
      </c>
      <c r="C161" s="11">
        <v>100.44</v>
      </c>
      <c r="D161" s="30">
        <v>90.85</v>
      </c>
      <c r="E161" s="11">
        <f t="shared" si="0"/>
        <v>95.644999999999996</v>
      </c>
      <c r="S161" s="19"/>
      <c r="T161" s="31" t="s">
        <v>1001</v>
      </c>
      <c r="U161" s="17">
        <v>78.180000000000007</v>
      </c>
      <c r="V161" s="15">
        <v>105.59</v>
      </c>
      <c r="W161" s="34">
        <v>91.89</v>
      </c>
    </row>
    <row r="162" spans="1:23" ht="14.25" customHeight="1">
      <c r="A162" s="11"/>
      <c r="B162" s="11" t="s">
        <v>166</v>
      </c>
      <c r="C162" s="11">
        <v>111.54</v>
      </c>
      <c r="D162" s="30">
        <v>90.81</v>
      </c>
      <c r="E162" s="11">
        <f t="shared" si="0"/>
        <v>101.17500000000001</v>
      </c>
      <c r="S162" s="19"/>
      <c r="T162" s="31" t="s">
        <v>1002</v>
      </c>
      <c r="U162" s="17">
        <v>95.54</v>
      </c>
      <c r="V162" s="15">
        <v>95.45</v>
      </c>
      <c r="W162" s="34">
        <v>95.5</v>
      </c>
    </row>
    <row r="163" spans="1:23" ht="14.25" customHeight="1">
      <c r="A163" s="11"/>
      <c r="B163" s="11" t="s">
        <v>167</v>
      </c>
      <c r="C163" s="11">
        <v>86.16</v>
      </c>
      <c r="D163" s="30">
        <v>91.2</v>
      </c>
      <c r="E163" s="11">
        <f t="shared" si="0"/>
        <v>88.68</v>
      </c>
      <c r="S163" s="19"/>
      <c r="T163" s="31" t="s">
        <v>1003</v>
      </c>
      <c r="U163" s="17">
        <v>86.2</v>
      </c>
      <c r="V163" s="15">
        <v>109.24</v>
      </c>
      <c r="W163" s="34">
        <v>97.72</v>
      </c>
    </row>
    <row r="164" spans="1:23" ht="14.25" customHeight="1">
      <c r="A164" s="11"/>
      <c r="B164" s="11" t="s">
        <v>168</v>
      </c>
      <c r="C164" s="11">
        <v>91.21</v>
      </c>
      <c r="D164" s="30">
        <v>89.81</v>
      </c>
      <c r="E164" s="11">
        <f t="shared" si="0"/>
        <v>90.509999999999991</v>
      </c>
      <c r="S164" s="19"/>
      <c r="T164" s="31" t="s">
        <v>1004</v>
      </c>
      <c r="U164" s="17">
        <v>43.5</v>
      </c>
      <c r="V164" s="15">
        <v>100.83</v>
      </c>
      <c r="W164" s="34">
        <v>72.17</v>
      </c>
    </row>
    <row r="165" spans="1:23" ht="14.25" customHeight="1">
      <c r="A165" s="11"/>
      <c r="B165" s="11" t="s">
        <v>169</v>
      </c>
      <c r="C165" s="11">
        <v>81.56</v>
      </c>
      <c r="D165" s="30">
        <v>86.99</v>
      </c>
      <c r="E165" s="11">
        <f t="shared" si="0"/>
        <v>84.275000000000006</v>
      </c>
      <c r="S165" s="19"/>
      <c r="T165" s="31" t="s">
        <v>1005</v>
      </c>
      <c r="U165" s="17">
        <v>47.35</v>
      </c>
      <c r="V165" s="15">
        <v>93.52</v>
      </c>
      <c r="W165" s="34">
        <v>70.44</v>
      </c>
    </row>
    <row r="166" spans="1:23" ht="14.25" customHeight="1">
      <c r="A166" s="11"/>
      <c r="B166" s="11" t="s">
        <v>170</v>
      </c>
      <c r="C166" s="11">
        <v>84.9</v>
      </c>
      <c r="D166" s="30">
        <v>78.739999999999995</v>
      </c>
      <c r="E166" s="11">
        <f t="shared" si="0"/>
        <v>81.819999999999993</v>
      </c>
      <c r="S166" s="19"/>
      <c r="T166" s="31" t="s">
        <v>1006</v>
      </c>
      <c r="U166" s="17">
        <v>104.94</v>
      </c>
      <c r="V166" s="15">
        <v>96.44</v>
      </c>
      <c r="W166" s="34">
        <v>100.69</v>
      </c>
    </row>
    <row r="167" spans="1:23" ht="14.25" customHeight="1">
      <c r="A167" s="11"/>
      <c r="B167" s="11" t="s">
        <v>171</v>
      </c>
      <c r="C167" s="11">
        <v>96.16</v>
      </c>
      <c r="D167" s="30">
        <v>92.41</v>
      </c>
      <c r="E167" s="11">
        <f t="shared" si="0"/>
        <v>94.284999999999997</v>
      </c>
      <c r="S167" s="19"/>
      <c r="T167" s="31" t="s">
        <v>1007</v>
      </c>
      <c r="U167" s="17">
        <v>118.43</v>
      </c>
      <c r="V167" s="15">
        <v>92.24</v>
      </c>
      <c r="W167" s="34">
        <v>105.34</v>
      </c>
    </row>
    <row r="168" spans="1:23" ht="14.25" customHeight="1">
      <c r="A168" s="11"/>
      <c r="B168" s="11" t="s">
        <v>172</v>
      </c>
      <c r="C168" s="11">
        <v>86.46</v>
      </c>
      <c r="D168" s="30">
        <v>92.93</v>
      </c>
      <c r="E168" s="11">
        <f t="shared" si="0"/>
        <v>89.694999999999993</v>
      </c>
      <c r="S168" s="19"/>
      <c r="T168" s="31" t="s">
        <v>1008</v>
      </c>
      <c r="U168" s="17">
        <v>102.08</v>
      </c>
      <c r="V168" s="15">
        <v>106.23</v>
      </c>
      <c r="W168" s="34">
        <v>104.16</v>
      </c>
    </row>
    <row r="169" spans="1:23" ht="14.25" customHeight="1">
      <c r="A169" s="11"/>
      <c r="B169" s="11" t="s">
        <v>173</v>
      </c>
      <c r="C169" s="11">
        <v>93.44</v>
      </c>
      <c r="D169" s="30">
        <v>102.72</v>
      </c>
      <c r="E169" s="11">
        <f t="shared" si="0"/>
        <v>98.08</v>
      </c>
      <c r="S169" s="19"/>
      <c r="T169" s="31" t="s">
        <v>1009</v>
      </c>
      <c r="U169" s="17">
        <v>102.73</v>
      </c>
      <c r="V169" s="15">
        <v>106.08</v>
      </c>
      <c r="W169" s="34">
        <v>104.41</v>
      </c>
    </row>
    <row r="170" spans="1:23" ht="14.25" customHeight="1">
      <c r="A170" s="11"/>
      <c r="B170" s="11" t="s">
        <v>174</v>
      </c>
      <c r="C170" s="11">
        <v>88.35</v>
      </c>
      <c r="D170" s="30">
        <v>107.38</v>
      </c>
      <c r="E170" s="11">
        <f t="shared" si="0"/>
        <v>97.864999999999995</v>
      </c>
      <c r="S170" s="19"/>
      <c r="T170" s="31" t="s">
        <v>1010</v>
      </c>
      <c r="U170" s="17">
        <v>79.8</v>
      </c>
      <c r="V170" s="15">
        <v>99.44</v>
      </c>
      <c r="W170" s="34">
        <v>89.62</v>
      </c>
    </row>
    <row r="171" spans="1:23" ht="14.25" customHeight="1">
      <c r="A171" s="11"/>
      <c r="B171" s="11" t="s">
        <v>175</v>
      </c>
      <c r="C171" s="11">
        <v>87.88</v>
      </c>
      <c r="D171" s="30">
        <v>92.51</v>
      </c>
      <c r="E171" s="11">
        <f t="shared" si="0"/>
        <v>90.194999999999993</v>
      </c>
      <c r="S171" s="19"/>
      <c r="T171" s="31" t="s">
        <v>1011</v>
      </c>
      <c r="U171" s="17">
        <v>95.79</v>
      </c>
      <c r="V171" s="15">
        <v>139.94999999999999</v>
      </c>
      <c r="W171" s="34">
        <v>117.87</v>
      </c>
    </row>
    <row r="172" spans="1:23" ht="14.25" customHeight="1">
      <c r="A172" s="11"/>
      <c r="B172" s="11" t="s">
        <v>176</v>
      </c>
      <c r="C172" s="11">
        <v>81.94</v>
      </c>
      <c r="D172" s="30">
        <v>90.72</v>
      </c>
      <c r="E172" s="11">
        <f t="shared" si="0"/>
        <v>86.33</v>
      </c>
      <c r="S172" s="19"/>
      <c r="T172" s="31" t="s">
        <v>1012</v>
      </c>
      <c r="U172" s="17">
        <v>98.88</v>
      </c>
      <c r="V172" s="15">
        <v>102.26</v>
      </c>
      <c r="W172" s="34">
        <v>100.57</v>
      </c>
    </row>
    <row r="173" spans="1:23" ht="14.25" customHeight="1">
      <c r="A173" s="11"/>
      <c r="B173" s="11" t="s">
        <v>177</v>
      </c>
      <c r="C173" s="11">
        <v>89.59</v>
      </c>
      <c r="D173" s="30">
        <v>87.19</v>
      </c>
      <c r="E173" s="11">
        <f t="shared" si="0"/>
        <v>88.39</v>
      </c>
      <c r="S173" s="19"/>
      <c r="T173" s="31" t="s">
        <v>1013</v>
      </c>
      <c r="U173" s="17">
        <v>98.68</v>
      </c>
      <c r="V173" s="15">
        <v>113.43</v>
      </c>
      <c r="W173" s="34">
        <v>106.06</v>
      </c>
    </row>
    <row r="174" spans="1:23" ht="14.25" customHeight="1">
      <c r="A174" s="11"/>
      <c r="B174" s="11" t="s">
        <v>178</v>
      </c>
      <c r="C174" s="11">
        <v>79.67</v>
      </c>
      <c r="D174" s="30">
        <v>94.96</v>
      </c>
      <c r="E174" s="11">
        <f t="shared" si="0"/>
        <v>87.314999999999998</v>
      </c>
      <c r="S174" s="19"/>
      <c r="T174" s="31" t="s">
        <v>1014</v>
      </c>
      <c r="U174" s="17">
        <v>104.68</v>
      </c>
      <c r="V174" s="15">
        <v>99.59</v>
      </c>
      <c r="W174" s="34">
        <v>102.14</v>
      </c>
    </row>
    <row r="175" spans="1:23" ht="14.25" customHeight="1">
      <c r="A175" s="11"/>
      <c r="B175" s="11" t="s">
        <v>179</v>
      </c>
      <c r="C175" s="11">
        <v>93.84</v>
      </c>
      <c r="D175" s="30">
        <v>100.23</v>
      </c>
      <c r="E175" s="11">
        <f t="shared" si="0"/>
        <v>97.034999999999997</v>
      </c>
      <c r="S175" s="19"/>
      <c r="T175" s="31" t="s">
        <v>1015</v>
      </c>
      <c r="U175" s="17">
        <v>92.83</v>
      </c>
      <c r="V175" s="15">
        <v>92.94</v>
      </c>
      <c r="W175" s="34">
        <v>92.89</v>
      </c>
    </row>
    <row r="176" spans="1:23" ht="14.25" customHeight="1">
      <c r="A176" s="11"/>
      <c r="B176" s="11" t="s">
        <v>180</v>
      </c>
      <c r="C176" s="11">
        <v>84.4</v>
      </c>
      <c r="D176" s="30">
        <v>93.66</v>
      </c>
      <c r="E176" s="11">
        <f t="shared" si="0"/>
        <v>89.03</v>
      </c>
      <c r="S176" s="19"/>
      <c r="T176" s="31" t="s">
        <v>1016</v>
      </c>
      <c r="U176" s="17">
        <v>41.38</v>
      </c>
      <c r="V176" s="15">
        <v>117.02</v>
      </c>
      <c r="W176" s="34">
        <v>79.2</v>
      </c>
    </row>
    <row r="177" spans="1:23" ht="14.25" customHeight="1">
      <c r="A177" s="11"/>
      <c r="B177" s="11" t="s">
        <v>181</v>
      </c>
      <c r="C177" s="11">
        <v>101.69</v>
      </c>
      <c r="D177" s="30">
        <v>71.209999999999994</v>
      </c>
      <c r="E177" s="11">
        <f t="shared" si="0"/>
        <v>86.449999999999989</v>
      </c>
      <c r="S177" s="19"/>
      <c r="T177" s="31" t="s">
        <v>1017</v>
      </c>
      <c r="U177" s="17">
        <v>76.87</v>
      </c>
      <c r="V177" s="15">
        <v>109.71</v>
      </c>
      <c r="W177" s="34">
        <v>93.29</v>
      </c>
    </row>
    <row r="178" spans="1:23" ht="14.25" customHeight="1">
      <c r="A178" s="11"/>
      <c r="B178" s="11" t="s">
        <v>182</v>
      </c>
      <c r="C178" s="11">
        <v>89.46</v>
      </c>
      <c r="D178" s="30">
        <v>112.02</v>
      </c>
      <c r="E178" s="11">
        <f t="shared" si="0"/>
        <v>100.74</v>
      </c>
      <c r="S178" s="19"/>
      <c r="T178" s="31" t="s">
        <v>1018</v>
      </c>
      <c r="U178" s="17">
        <v>95.86</v>
      </c>
      <c r="V178" s="15">
        <v>108.84</v>
      </c>
      <c r="W178" s="34">
        <v>102.35</v>
      </c>
    </row>
    <row r="179" spans="1:23" ht="14.25" customHeight="1">
      <c r="A179" s="11"/>
      <c r="B179" s="11" t="s">
        <v>183</v>
      </c>
      <c r="C179" s="11">
        <v>84.61</v>
      </c>
      <c r="D179" s="30">
        <v>95.84</v>
      </c>
      <c r="E179" s="11">
        <f t="shared" si="0"/>
        <v>90.224999999999994</v>
      </c>
      <c r="S179" s="19"/>
      <c r="T179" s="31" t="s">
        <v>1019</v>
      </c>
      <c r="U179" s="17">
        <v>103.01</v>
      </c>
      <c r="V179" s="15">
        <v>101.67</v>
      </c>
      <c r="W179" s="34">
        <v>102.34</v>
      </c>
    </row>
    <row r="180" spans="1:23" ht="14.25" customHeight="1">
      <c r="A180" s="11"/>
      <c r="B180" s="11" t="s">
        <v>184</v>
      </c>
      <c r="C180" s="11">
        <v>91.89</v>
      </c>
      <c r="D180" s="30">
        <v>85.49</v>
      </c>
      <c r="E180" s="11">
        <f t="shared" si="0"/>
        <v>88.69</v>
      </c>
      <c r="S180" s="19"/>
      <c r="T180" s="31" t="s">
        <v>1020</v>
      </c>
      <c r="U180" s="17">
        <v>73.09</v>
      </c>
      <c r="V180" s="15">
        <v>100.4</v>
      </c>
      <c r="W180" s="34">
        <v>86.75</v>
      </c>
    </row>
    <row r="181" spans="1:23" ht="14.25" customHeight="1">
      <c r="A181" s="11"/>
      <c r="B181" s="11" t="s">
        <v>185</v>
      </c>
      <c r="C181" s="11">
        <v>94.05</v>
      </c>
      <c r="D181" s="30">
        <v>95.21</v>
      </c>
      <c r="E181" s="11">
        <f t="shared" si="0"/>
        <v>94.63</v>
      </c>
      <c r="S181" s="19"/>
      <c r="T181" s="31" t="s">
        <v>1021</v>
      </c>
      <c r="U181" s="17">
        <v>82.68</v>
      </c>
      <c r="V181" s="15">
        <v>109.93</v>
      </c>
      <c r="W181" s="34">
        <v>96.31</v>
      </c>
    </row>
    <row r="182" spans="1:23" ht="14.25" customHeight="1">
      <c r="A182" s="11"/>
      <c r="B182" s="11" t="s">
        <v>186</v>
      </c>
      <c r="C182" s="11">
        <v>101.26</v>
      </c>
      <c r="D182" s="30">
        <v>99.09</v>
      </c>
      <c r="E182" s="11">
        <f t="shared" si="0"/>
        <v>100.17500000000001</v>
      </c>
      <c r="S182" s="19"/>
      <c r="T182" s="31" t="s">
        <v>1022</v>
      </c>
      <c r="U182" s="17">
        <v>240.94</v>
      </c>
      <c r="V182" s="15">
        <v>347.96</v>
      </c>
      <c r="W182" s="34">
        <v>294.45</v>
      </c>
    </row>
    <row r="183" spans="1:23" ht="14.25" customHeight="1">
      <c r="A183" s="11"/>
      <c r="B183" s="11" t="s">
        <v>187</v>
      </c>
      <c r="C183" s="11">
        <v>111.54</v>
      </c>
      <c r="D183" s="30">
        <v>98.12</v>
      </c>
      <c r="E183" s="11">
        <f t="shared" si="0"/>
        <v>104.83000000000001</v>
      </c>
      <c r="S183" s="19"/>
      <c r="T183" s="31" t="s">
        <v>1023</v>
      </c>
      <c r="U183" s="17">
        <v>22.3</v>
      </c>
      <c r="V183" s="15">
        <v>110.39</v>
      </c>
      <c r="W183" s="34">
        <v>66.349999999999994</v>
      </c>
    </row>
    <row r="184" spans="1:23" ht="14.25" customHeight="1">
      <c r="A184" s="11"/>
      <c r="B184" s="11" t="s">
        <v>188</v>
      </c>
      <c r="C184" s="11">
        <v>101.15</v>
      </c>
      <c r="D184" s="30">
        <v>95.57</v>
      </c>
      <c r="E184" s="11">
        <f t="shared" si="0"/>
        <v>98.36</v>
      </c>
      <c r="S184" s="19"/>
      <c r="T184" s="31" t="s">
        <v>1024</v>
      </c>
      <c r="U184" s="17">
        <v>79.180000000000007</v>
      </c>
      <c r="V184" s="15">
        <v>99.96</v>
      </c>
      <c r="W184" s="34">
        <v>89.57</v>
      </c>
    </row>
    <row r="185" spans="1:23" ht="14.25" customHeight="1">
      <c r="A185" s="11"/>
      <c r="B185" s="11" t="s">
        <v>192</v>
      </c>
      <c r="C185" s="11">
        <v>75.34</v>
      </c>
      <c r="D185" s="30">
        <v>97.61</v>
      </c>
      <c r="E185" s="11">
        <f t="shared" si="0"/>
        <v>86.474999999999994</v>
      </c>
      <c r="S185" s="19"/>
      <c r="T185" s="31" t="s">
        <v>1025</v>
      </c>
      <c r="U185" s="17">
        <v>67.94</v>
      </c>
      <c r="V185" s="15">
        <v>112.18</v>
      </c>
      <c r="W185" s="34">
        <v>90.06</v>
      </c>
    </row>
    <row r="186" spans="1:23" ht="14.25" customHeight="1">
      <c r="A186" s="11"/>
      <c r="B186" s="11" t="s">
        <v>193</v>
      </c>
      <c r="C186" s="11">
        <v>87.74</v>
      </c>
      <c r="D186" s="30">
        <v>93.08</v>
      </c>
      <c r="E186" s="11">
        <f t="shared" si="0"/>
        <v>90.41</v>
      </c>
      <c r="S186" s="19"/>
      <c r="T186" s="31" t="s">
        <v>1026</v>
      </c>
      <c r="U186" s="17">
        <v>82.36</v>
      </c>
      <c r="V186" s="15">
        <v>99.85</v>
      </c>
      <c r="W186" s="34">
        <v>91.11</v>
      </c>
    </row>
    <row r="187" spans="1:23" ht="14.25" customHeight="1">
      <c r="A187" s="11"/>
      <c r="B187" s="11" t="s">
        <v>194</v>
      </c>
      <c r="C187" s="11">
        <v>92.78</v>
      </c>
      <c r="D187" s="30">
        <v>60.8</v>
      </c>
      <c r="E187" s="11">
        <f t="shared" si="0"/>
        <v>76.789999999999992</v>
      </c>
      <c r="S187" s="19"/>
      <c r="T187" s="31" t="s">
        <v>1027</v>
      </c>
      <c r="U187" s="17">
        <v>98.33</v>
      </c>
      <c r="V187" s="15">
        <v>118.34</v>
      </c>
      <c r="W187" s="34">
        <v>108.34</v>
      </c>
    </row>
    <row r="188" spans="1:23" ht="14.25" customHeight="1">
      <c r="A188" s="11"/>
      <c r="B188" s="11" t="s">
        <v>195</v>
      </c>
      <c r="C188" s="11">
        <v>88.3</v>
      </c>
      <c r="D188" s="30">
        <v>90.74</v>
      </c>
      <c r="E188" s="11">
        <f t="shared" si="0"/>
        <v>89.52</v>
      </c>
      <c r="S188" s="19"/>
      <c r="T188" s="31" t="s">
        <v>1028</v>
      </c>
      <c r="U188" s="17">
        <v>98.85</v>
      </c>
      <c r="V188" s="15">
        <v>111.86</v>
      </c>
      <c r="W188" s="34">
        <v>105.36</v>
      </c>
    </row>
    <row r="189" spans="1:23" ht="14.25" customHeight="1">
      <c r="A189" s="11"/>
      <c r="B189" s="11" t="s">
        <v>196</v>
      </c>
      <c r="C189" s="11">
        <v>82.07</v>
      </c>
      <c r="D189" s="30">
        <v>111.45</v>
      </c>
      <c r="E189" s="11">
        <f t="shared" si="0"/>
        <v>96.759999999999991</v>
      </c>
      <c r="S189" s="19"/>
      <c r="T189" s="31" t="s">
        <v>1029</v>
      </c>
      <c r="U189" s="17">
        <v>93.16</v>
      </c>
      <c r="V189" s="15">
        <v>92.62</v>
      </c>
      <c r="W189" s="34">
        <v>92.89</v>
      </c>
    </row>
    <row r="190" spans="1:23" ht="14.25" customHeight="1">
      <c r="A190" s="11"/>
      <c r="B190" s="11" t="s">
        <v>197</v>
      </c>
      <c r="C190" s="11">
        <v>71.48</v>
      </c>
      <c r="D190" s="30">
        <v>123.28</v>
      </c>
      <c r="E190" s="11">
        <f t="shared" si="0"/>
        <v>97.38</v>
      </c>
      <c r="S190" s="19"/>
      <c r="T190" s="31" t="s">
        <v>1030</v>
      </c>
      <c r="U190" s="17">
        <v>116.79</v>
      </c>
      <c r="V190" s="15">
        <v>98.13</v>
      </c>
      <c r="W190" s="34">
        <v>107.46</v>
      </c>
    </row>
    <row r="191" spans="1:23" ht="14.25" customHeight="1">
      <c r="A191" s="11"/>
      <c r="B191" s="11" t="s">
        <v>198</v>
      </c>
      <c r="C191" s="11">
        <v>84.62</v>
      </c>
      <c r="D191" s="30">
        <v>105.24</v>
      </c>
      <c r="E191" s="11">
        <f t="shared" si="0"/>
        <v>94.93</v>
      </c>
      <c r="S191" s="19"/>
      <c r="T191" s="31" t="s">
        <v>1031</v>
      </c>
      <c r="U191" s="17">
        <v>96.48</v>
      </c>
      <c r="V191" s="15">
        <v>101.77</v>
      </c>
      <c r="W191" s="34">
        <v>99.13</v>
      </c>
    </row>
    <row r="192" spans="1:23" ht="14.25" customHeight="1">
      <c r="A192" s="11"/>
      <c r="B192" s="11" t="s">
        <v>199</v>
      </c>
      <c r="C192" s="11">
        <v>79</v>
      </c>
      <c r="D192" s="30">
        <v>100.33</v>
      </c>
      <c r="E192" s="11">
        <f t="shared" si="0"/>
        <v>89.664999999999992</v>
      </c>
      <c r="S192" s="19"/>
      <c r="T192" s="31" t="s">
        <v>1032</v>
      </c>
      <c r="U192" s="17">
        <v>123</v>
      </c>
      <c r="V192" s="15">
        <v>115.33</v>
      </c>
      <c r="W192" s="34">
        <v>119.17</v>
      </c>
    </row>
    <row r="193" spans="1:23" ht="14.25" customHeight="1">
      <c r="A193" s="11"/>
      <c r="B193" s="11" t="s">
        <v>200</v>
      </c>
      <c r="C193" s="11">
        <v>112.81</v>
      </c>
      <c r="D193" s="30">
        <v>93.89</v>
      </c>
      <c r="E193" s="11">
        <f t="shared" si="0"/>
        <v>103.35</v>
      </c>
      <c r="S193" s="19"/>
      <c r="T193" s="39" t="s">
        <v>1033</v>
      </c>
      <c r="U193" s="17">
        <v>71.84</v>
      </c>
      <c r="V193" s="15">
        <v>92.41</v>
      </c>
      <c r="W193" s="34">
        <v>82.13</v>
      </c>
    </row>
    <row r="194" spans="1:23" ht="14.25" customHeight="1">
      <c r="A194" s="11"/>
      <c r="B194" s="11" t="s">
        <v>201</v>
      </c>
      <c r="C194" s="11">
        <v>98.33</v>
      </c>
      <c r="D194" s="30">
        <v>104.08</v>
      </c>
      <c r="E194" s="11">
        <f t="shared" si="0"/>
        <v>101.205</v>
      </c>
      <c r="S194" s="19"/>
      <c r="T194" s="31" t="s">
        <v>1034</v>
      </c>
      <c r="U194" s="17">
        <v>50.41</v>
      </c>
      <c r="V194" s="15">
        <v>111.48</v>
      </c>
      <c r="W194" s="34">
        <v>80.95</v>
      </c>
    </row>
    <row r="195" spans="1:23" ht="14.25" customHeight="1">
      <c r="A195" s="11"/>
      <c r="B195" s="11" t="s">
        <v>202</v>
      </c>
      <c r="C195" s="11">
        <v>91.54</v>
      </c>
      <c r="D195" s="30">
        <v>112.59</v>
      </c>
      <c r="E195" s="11">
        <f t="shared" si="0"/>
        <v>102.065</v>
      </c>
      <c r="S195" s="19"/>
      <c r="T195" s="31" t="s">
        <v>1035</v>
      </c>
      <c r="U195" s="17">
        <v>102.14</v>
      </c>
      <c r="V195" s="15">
        <v>98.79</v>
      </c>
      <c r="W195" s="34">
        <v>100.47</v>
      </c>
    </row>
    <row r="196" spans="1:23" ht="14.25" customHeight="1">
      <c r="A196" s="11"/>
      <c r="B196" s="11" t="s">
        <v>203</v>
      </c>
      <c r="C196" s="11">
        <v>85.83</v>
      </c>
      <c r="D196" s="30">
        <v>60.76</v>
      </c>
      <c r="E196" s="11">
        <f t="shared" si="0"/>
        <v>73.295000000000002</v>
      </c>
      <c r="S196" s="19"/>
      <c r="T196" s="31" t="s">
        <v>1036</v>
      </c>
      <c r="U196" s="17">
        <v>97.25</v>
      </c>
      <c r="V196" s="15">
        <v>100.87</v>
      </c>
      <c r="W196" s="34">
        <v>99.06</v>
      </c>
    </row>
    <row r="197" spans="1:23" ht="14.25" customHeight="1">
      <c r="A197" s="11"/>
      <c r="B197" s="11" t="s">
        <v>204</v>
      </c>
      <c r="C197" s="11">
        <v>91.78</v>
      </c>
      <c r="D197" s="30">
        <v>95.77</v>
      </c>
      <c r="E197" s="11">
        <f t="shared" si="0"/>
        <v>93.775000000000006</v>
      </c>
      <c r="S197" s="19"/>
      <c r="T197" s="31" t="s">
        <v>1037</v>
      </c>
      <c r="U197" s="17">
        <v>23.04</v>
      </c>
      <c r="V197" s="15">
        <v>113.12</v>
      </c>
      <c r="W197" s="34">
        <v>68.08</v>
      </c>
    </row>
    <row r="198" spans="1:23" ht="14.25" customHeight="1">
      <c r="A198" s="11"/>
      <c r="B198" s="11" t="s">
        <v>205</v>
      </c>
      <c r="C198" s="11">
        <v>82.49</v>
      </c>
      <c r="D198" s="30">
        <v>101.44</v>
      </c>
      <c r="E198" s="11">
        <f t="shared" si="0"/>
        <v>91.965000000000003</v>
      </c>
      <c r="S198" s="19"/>
      <c r="T198" s="31" t="s">
        <v>1038</v>
      </c>
      <c r="U198" s="17">
        <v>99.36</v>
      </c>
      <c r="V198" s="15">
        <v>101.5</v>
      </c>
      <c r="W198" s="34">
        <v>100.43</v>
      </c>
    </row>
    <row r="199" spans="1:23" ht="14.25" customHeight="1">
      <c r="A199" s="11"/>
      <c r="B199" s="11" t="s">
        <v>206</v>
      </c>
      <c r="C199" s="11">
        <v>76.23</v>
      </c>
      <c r="D199" s="30">
        <v>89.45</v>
      </c>
      <c r="E199" s="11">
        <f t="shared" si="0"/>
        <v>82.84</v>
      </c>
      <c r="S199" s="19"/>
      <c r="T199" s="31" t="s">
        <v>1039</v>
      </c>
      <c r="U199" s="17">
        <v>97.76</v>
      </c>
      <c r="V199" s="15">
        <v>96.14</v>
      </c>
      <c r="W199" s="34">
        <v>96.95</v>
      </c>
    </row>
    <row r="200" spans="1:23" ht="14.25" customHeight="1">
      <c r="A200" s="11"/>
      <c r="B200" s="11" t="s">
        <v>207</v>
      </c>
      <c r="C200" s="11">
        <v>87.59</v>
      </c>
      <c r="D200" s="30">
        <v>96.59</v>
      </c>
      <c r="E200" s="11">
        <f t="shared" si="0"/>
        <v>92.09</v>
      </c>
      <c r="S200" s="19"/>
      <c r="T200" s="31" t="s">
        <v>1040</v>
      </c>
      <c r="U200" s="17">
        <v>113.1</v>
      </c>
      <c r="V200" s="15">
        <v>102.75</v>
      </c>
      <c r="W200" s="34">
        <v>107.93</v>
      </c>
    </row>
    <row r="201" spans="1:23" ht="14.25" customHeight="1">
      <c r="A201" s="11"/>
      <c r="B201" s="11" t="s">
        <v>208</v>
      </c>
      <c r="C201" s="11">
        <v>106.02</v>
      </c>
      <c r="D201" s="30">
        <v>114.81</v>
      </c>
      <c r="E201" s="11">
        <f t="shared" si="0"/>
        <v>110.41499999999999</v>
      </c>
      <c r="S201" s="19"/>
      <c r="T201" s="31" t="s">
        <v>1041</v>
      </c>
      <c r="U201" s="17">
        <v>69.98</v>
      </c>
      <c r="V201" s="15">
        <v>144.68</v>
      </c>
      <c r="W201" s="34">
        <v>107.33</v>
      </c>
    </row>
    <row r="202" spans="1:23" ht="14.25" customHeight="1">
      <c r="A202" s="11"/>
      <c r="B202" s="11" t="s">
        <v>209</v>
      </c>
      <c r="C202" s="11">
        <v>83.55</v>
      </c>
      <c r="D202" s="30">
        <v>95.09</v>
      </c>
      <c r="E202" s="11">
        <f t="shared" si="0"/>
        <v>89.32</v>
      </c>
      <c r="S202" s="19"/>
      <c r="T202" s="31" t="s">
        <v>1042</v>
      </c>
      <c r="U202" s="17">
        <v>75.27</v>
      </c>
      <c r="V202" s="15">
        <v>110.37</v>
      </c>
      <c r="W202" s="34">
        <v>92.82</v>
      </c>
    </row>
    <row r="203" spans="1:23" ht="14.25" customHeight="1">
      <c r="A203" s="11"/>
      <c r="B203" s="11" t="s">
        <v>210</v>
      </c>
      <c r="C203" s="11">
        <v>86.69</v>
      </c>
      <c r="D203" s="30">
        <v>84.54</v>
      </c>
      <c r="E203" s="11">
        <f t="shared" si="0"/>
        <v>85.615000000000009</v>
      </c>
      <c r="S203" s="19"/>
      <c r="T203" s="31" t="s">
        <v>1043</v>
      </c>
      <c r="U203" s="17">
        <v>100.22</v>
      </c>
      <c r="V203" s="15">
        <v>91.1</v>
      </c>
      <c r="W203" s="34">
        <v>95.66</v>
      </c>
    </row>
    <row r="204" spans="1:23" ht="14.25" customHeight="1">
      <c r="A204" s="11"/>
      <c r="B204" s="11" t="s">
        <v>211</v>
      </c>
      <c r="C204" s="11">
        <v>98.06</v>
      </c>
      <c r="D204" s="30">
        <v>77.11</v>
      </c>
      <c r="E204" s="11">
        <f t="shared" si="0"/>
        <v>87.585000000000008</v>
      </c>
      <c r="S204" s="19"/>
      <c r="T204" s="31" t="s">
        <v>1044</v>
      </c>
      <c r="U204" s="17">
        <v>84.29</v>
      </c>
      <c r="V204" s="15">
        <v>92.72</v>
      </c>
      <c r="W204" s="34">
        <v>88.51</v>
      </c>
    </row>
    <row r="205" spans="1:23" ht="14.25" customHeight="1">
      <c r="A205" s="11"/>
      <c r="B205" s="11" t="s">
        <v>212</v>
      </c>
      <c r="C205" s="11">
        <v>89.06</v>
      </c>
      <c r="D205" s="30">
        <v>103.26</v>
      </c>
      <c r="E205" s="11">
        <f t="shared" si="0"/>
        <v>96.16</v>
      </c>
      <c r="S205" s="19"/>
      <c r="T205" s="31" t="s">
        <v>1045</v>
      </c>
      <c r="U205" s="17">
        <v>82.89</v>
      </c>
      <c r="V205" s="15">
        <v>94.93</v>
      </c>
      <c r="W205" s="34">
        <v>88.91</v>
      </c>
    </row>
    <row r="206" spans="1:23" ht="14.25" customHeight="1">
      <c r="A206" s="11"/>
      <c r="B206" s="11" t="s">
        <v>214</v>
      </c>
      <c r="C206" s="11">
        <v>91.08</v>
      </c>
      <c r="D206" s="30">
        <v>102.57</v>
      </c>
      <c r="E206" s="11">
        <f t="shared" si="0"/>
        <v>96.824999999999989</v>
      </c>
      <c r="S206" s="19"/>
      <c r="T206" s="31" t="s">
        <v>1046</v>
      </c>
      <c r="U206" s="17">
        <v>89.24</v>
      </c>
      <c r="V206" s="15">
        <v>80.17</v>
      </c>
      <c r="W206" s="34">
        <v>84.71</v>
      </c>
    </row>
    <row r="207" spans="1:23" ht="14.25" customHeight="1">
      <c r="A207" s="11"/>
      <c r="B207" s="11" t="s">
        <v>215</v>
      </c>
      <c r="C207" s="11">
        <v>73.510000000000005</v>
      </c>
      <c r="D207" s="30">
        <v>94.71</v>
      </c>
      <c r="E207" s="11">
        <f t="shared" si="0"/>
        <v>84.11</v>
      </c>
      <c r="S207" s="19"/>
      <c r="T207" s="31" t="s">
        <v>1047</v>
      </c>
      <c r="U207" s="17">
        <v>78.94</v>
      </c>
      <c r="V207" s="15">
        <v>111.58</v>
      </c>
      <c r="W207" s="34">
        <v>95.26</v>
      </c>
    </row>
    <row r="208" spans="1:23" ht="14.25" customHeight="1">
      <c r="A208" s="11"/>
      <c r="B208" s="11" t="s">
        <v>216</v>
      </c>
      <c r="C208" s="11">
        <v>108.5</v>
      </c>
      <c r="D208" s="30">
        <v>92.82</v>
      </c>
      <c r="E208" s="11">
        <f t="shared" si="0"/>
        <v>100.66</v>
      </c>
      <c r="S208" s="19"/>
      <c r="T208" s="31" t="s">
        <v>1048</v>
      </c>
      <c r="U208" s="17">
        <v>86.5</v>
      </c>
      <c r="V208" s="15">
        <v>107.63</v>
      </c>
      <c r="W208" s="34">
        <v>97.07</v>
      </c>
    </row>
    <row r="209" spans="1:23" ht="14.25" customHeight="1">
      <c r="A209" s="11"/>
      <c r="B209" s="11" t="s">
        <v>217</v>
      </c>
      <c r="C209" s="11">
        <v>90.76</v>
      </c>
      <c r="D209" s="30">
        <v>99.73</v>
      </c>
      <c r="E209" s="11">
        <f t="shared" si="0"/>
        <v>95.245000000000005</v>
      </c>
      <c r="S209" s="19"/>
      <c r="T209" s="31" t="s">
        <v>1049</v>
      </c>
      <c r="U209" s="17">
        <v>84.53</v>
      </c>
      <c r="V209" s="15">
        <v>104.95</v>
      </c>
      <c r="W209" s="34">
        <v>94.74</v>
      </c>
    </row>
    <row r="210" spans="1:23" ht="14.25" customHeight="1">
      <c r="A210" s="11"/>
      <c r="B210" s="11" t="s">
        <v>218</v>
      </c>
      <c r="C210" s="11">
        <v>86.69</v>
      </c>
      <c r="D210" s="30">
        <v>86.89</v>
      </c>
      <c r="E210" s="11">
        <f t="shared" si="0"/>
        <v>86.789999999999992</v>
      </c>
      <c r="S210" s="19"/>
      <c r="T210" s="31" t="s">
        <v>1050</v>
      </c>
      <c r="U210" s="17">
        <v>69.89</v>
      </c>
      <c r="V210" s="15">
        <v>97.15</v>
      </c>
      <c r="W210" s="34">
        <v>83.52</v>
      </c>
    </row>
    <row r="211" spans="1:23" ht="14.25" customHeight="1">
      <c r="A211" s="11"/>
      <c r="B211" s="11" t="s">
        <v>219</v>
      </c>
      <c r="C211" s="11">
        <v>78.62</v>
      </c>
      <c r="D211" s="30">
        <v>97.98</v>
      </c>
      <c r="E211" s="11">
        <f t="shared" si="0"/>
        <v>88.300000000000011</v>
      </c>
      <c r="S211" s="19"/>
      <c r="T211" s="31" t="s">
        <v>1051</v>
      </c>
      <c r="U211" s="17">
        <v>90.85</v>
      </c>
      <c r="V211" s="15">
        <v>85.13</v>
      </c>
      <c r="W211" s="34">
        <v>87.99</v>
      </c>
    </row>
    <row r="212" spans="1:23" ht="14.25" customHeight="1">
      <c r="A212" s="11"/>
      <c r="B212" s="11" t="s">
        <v>220</v>
      </c>
      <c r="C212" s="11">
        <v>76.89</v>
      </c>
      <c r="D212" s="30">
        <v>105.22</v>
      </c>
      <c r="E212" s="11">
        <f t="shared" si="0"/>
        <v>91.055000000000007</v>
      </c>
      <c r="S212" s="19"/>
      <c r="T212" s="31" t="s">
        <v>1052</v>
      </c>
      <c r="U212" s="17">
        <v>54.1</v>
      </c>
      <c r="V212" s="15">
        <v>118.12</v>
      </c>
      <c r="W212" s="34">
        <v>86.11</v>
      </c>
    </row>
    <row r="213" spans="1:23" ht="14.25" customHeight="1">
      <c r="A213" s="11"/>
      <c r="B213" s="11" t="s">
        <v>221</v>
      </c>
      <c r="C213" s="11">
        <v>87.8</v>
      </c>
      <c r="D213" s="30">
        <v>85.05</v>
      </c>
      <c r="E213" s="11">
        <f t="shared" si="0"/>
        <v>86.424999999999997</v>
      </c>
      <c r="S213" s="19"/>
      <c r="T213" s="31" t="s">
        <v>1053</v>
      </c>
      <c r="U213" s="17">
        <v>93.24</v>
      </c>
      <c r="V213" s="15">
        <v>94.86</v>
      </c>
      <c r="W213" s="34">
        <v>94.05</v>
      </c>
    </row>
    <row r="214" spans="1:23" ht="14.25" customHeight="1">
      <c r="A214" s="11"/>
      <c r="B214" s="11" t="s">
        <v>222</v>
      </c>
      <c r="C214" s="11">
        <v>107.84</v>
      </c>
      <c r="D214" s="30">
        <v>88.55</v>
      </c>
      <c r="E214" s="11">
        <f t="shared" si="0"/>
        <v>98.194999999999993</v>
      </c>
      <c r="S214" s="19"/>
      <c r="T214" s="31" t="s">
        <v>1054</v>
      </c>
      <c r="U214" s="17">
        <v>96.11</v>
      </c>
      <c r="V214" s="15">
        <v>85.42</v>
      </c>
      <c r="W214" s="34">
        <v>90.77</v>
      </c>
    </row>
    <row r="215" spans="1:23" ht="14.25" customHeight="1">
      <c r="A215" s="11"/>
      <c r="B215" s="11" t="s">
        <v>223</v>
      </c>
      <c r="C215" s="11">
        <v>91.04</v>
      </c>
      <c r="D215" s="30">
        <v>90.57</v>
      </c>
      <c r="E215" s="11">
        <f t="shared" si="0"/>
        <v>90.805000000000007</v>
      </c>
      <c r="S215" s="19"/>
      <c r="T215" s="31" t="s">
        <v>1055</v>
      </c>
      <c r="U215" s="17">
        <v>110.71</v>
      </c>
      <c r="V215" s="15">
        <v>105.42</v>
      </c>
      <c r="W215" s="34">
        <v>108.07</v>
      </c>
    </row>
    <row r="216" spans="1:23" ht="14.25" customHeight="1">
      <c r="A216" s="11"/>
      <c r="B216" s="11" t="s">
        <v>224</v>
      </c>
      <c r="C216" s="11">
        <v>100.19</v>
      </c>
      <c r="D216" s="30">
        <v>109.23</v>
      </c>
      <c r="E216" s="11">
        <f t="shared" si="0"/>
        <v>104.71000000000001</v>
      </c>
      <c r="S216" s="19"/>
      <c r="T216" s="31" t="s">
        <v>1056</v>
      </c>
      <c r="U216" s="17">
        <v>60.31</v>
      </c>
      <c r="V216" s="15">
        <v>134.13</v>
      </c>
      <c r="W216" s="34">
        <v>97.22</v>
      </c>
    </row>
    <row r="217" spans="1:23" ht="14.25" customHeight="1">
      <c r="A217" s="11"/>
      <c r="B217" s="11" t="s">
        <v>225</v>
      </c>
      <c r="C217" s="11">
        <v>85.45</v>
      </c>
      <c r="D217" s="30">
        <v>93.73</v>
      </c>
      <c r="E217" s="11">
        <f t="shared" si="0"/>
        <v>89.59</v>
      </c>
      <c r="S217" s="19"/>
      <c r="T217" s="31" t="s">
        <v>1057</v>
      </c>
      <c r="U217" s="17">
        <v>47.65</v>
      </c>
      <c r="V217" s="15">
        <v>148.44999999999999</v>
      </c>
      <c r="W217" s="34">
        <v>98.05</v>
      </c>
    </row>
    <row r="218" spans="1:23" ht="14.25" customHeight="1">
      <c r="A218" s="11"/>
      <c r="B218" s="11" t="s">
        <v>226</v>
      </c>
      <c r="C218" s="11">
        <v>79.22</v>
      </c>
      <c r="D218" s="30">
        <v>89.98</v>
      </c>
      <c r="E218" s="11">
        <f t="shared" si="0"/>
        <v>84.6</v>
      </c>
      <c r="S218" s="19"/>
      <c r="T218" s="31" t="s">
        <v>1058</v>
      </c>
      <c r="U218" s="17">
        <v>94.33</v>
      </c>
      <c r="V218" s="15">
        <v>118.18</v>
      </c>
      <c r="W218" s="34">
        <v>106.26</v>
      </c>
    </row>
    <row r="219" spans="1:23" ht="14.25" customHeight="1">
      <c r="A219" s="11"/>
      <c r="B219" s="11" t="s">
        <v>227</v>
      </c>
      <c r="C219" s="11">
        <v>87.35</v>
      </c>
      <c r="D219" s="30">
        <v>94.3</v>
      </c>
      <c r="E219" s="11">
        <f t="shared" si="0"/>
        <v>90.824999999999989</v>
      </c>
      <c r="S219" s="19"/>
      <c r="T219" s="31" t="s">
        <v>1059</v>
      </c>
      <c r="U219" s="17">
        <v>107.38</v>
      </c>
      <c r="V219" s="15">
        <v>108.46</v>
      </c>
      <c r="W219" s="34">
        <v>107.92</v>
      </c>
    </row>
    <row r="220" spans="1:23" ht="14.25" customHeight="1">
      <c r="A220" s="11"/>
      <c r="B220" s="11" t="s">
        <v>228</v>
      </c>
      <c r="C220" s="11">
        <v>86.67</v>
      </c>
      <c r="D220" s="30">
        <v>73.709999999999994</v>
      </c>
      <c r="E220" s="11">
        <f t="shared" si="0"/>
        <v>80.19</v>
      </c>
      <c r="S220" s="19"/>
      <c r="T220" s="31" t="s">
        <v>1060</v>
      </c>
      <c r="U220" s="17">
        <v>80.8</v>
      </c>
      <c r="V220" s="15">
        <v>109.22</v>
      </c>
      <c r="W220" s="34">
        <v>95.01</v>
      </c>
    </row>
    <row r="221" spans="1:23" ht="14.25" customHeight="1">
      <c r="A221" s="11"/>
      <c r="B221" s="11" t="s">
        <v>229</v>
      </c>
      <c r="C221" s="11">
        <v>96.65</v>
      </c>
      <c r="D221" s="30">
        <v>97.92</v>
      </c>
      <c r="E221" s="11">
        <f t="shared" si="0"/>
        <v>97.284999999999997</v>
      </c>
      <c r="S221" s="19"/>
      <c r="T221" s="31" t="s">
        <v>1061</v>
      </c>
      <c r="U221" s="17">
        <v>89.51</v>
      </c>
      <c r="V221" s="15">
        <v>88.89</v>
      </c>
      <c r="W221" s="34">
        <v>89.2</v>
      </c>
    </row>
    <row r="222" spans="1:23" ht="14.25" customHeight="1">
      <c r="A222" s="11"/>
      <c r="B222" s="11" t="s">
        <v>230</v>
      </c>
      <c r="C222" s="11">
        <v>108.77</v>
      </c>
      <c r="D222" s="30">
        <v>91.36</v>
      </c>
      <c r="E222" s="11">
        <f t="shared" si="0"/>
        <v>100.065</v>
      </c>
      <c r="S222" s="19"/>
      <c r="T222" s="39" t="s">
        <v>1062</v>
      </c>
      <c r="U222" s="17">
        <v>21.46</v>
      </c>
      <c r="V222" s="15">
        <v>96.07</v>
      </c>
      <c r="W222" s="34">
        <v>58.77</v>
      </c>
    </row>
    <row r="223" spans="1:23" ht="14.25" customHeight="1">
      <c r="A223" s="11"/>
      <c r="B223" s="11" t="s">
        <v>231</v>
      </c>
      <c r="C223" s="11">
        <v>93.6</v>
      </c>
      <c r="D223" s="30">
        <v>78.569999999999993</v>
      </c>
      <c r="E223" s="11">
        <f t="shared" si="0"/>
        <v>86.084999999999994</v>
      </c>
      <c r="S223" s="19"/>
      <c r="T223" s="31" t="s">
        <v>1063</v>
      </c>
      <c r="U223" s="17">
        <v>86.33</v>
      </c>
      <c r="V223" s="15">
        <v>119.33</v>
      </c>
      <c r="W223" s="34">
        <v>102.83</v>
      </c>
    </row>
    <row r="224" spans="1:23" ht="14.25" customHeight="1">
      <c r="A224" s="11"/>
      <c r="B224" s="11" t="s">
        <v>232</v>
      </c>
      <c r="C224" s="11">
        <v>70.09</v>
      </c>
      <c r="D224" s="30">
        <v>102.04</v>
      </c>
      <c r="E224" s="11">
        <f t="shared" si="0"/>
        <v>86.064999999999998</v>
      </c>
      <c r="S224" s="19"/>
      <c r="T224" s="31" t="s">
        <v>1064</v>
      </c>
      <c r="U224" s="17">
        <v>86.63</v>
      </c>
      <c r="V224" s="15">
        <v>112.66</v>
      </c>
      <c r="W224" s="34">
        <v>99.65</v>
      </c>
    </row>
    <row r="225" spans="1:23" ht="14.25" customHeight="1">
      <c r="A225" s="11"/>
      <c r="B225" s="11" t="s">
        <v>233</v>
      </c>
      <c r="C225" s="11">
        <v>104.72</v>
      </c>
      <c r="D225" s="30">
        <v>95.36</v>
      </c>
      <c r="E225" s="11">
        <f t="shared" si="0"/>
        <v>100.03999999999999</v>
      </c>
      <c r="S225" s="19"/>
      <c r="T225" s="31" t="s">
        <v>1065</v>
      </c>
      <c r="U225" s="17">
        <v>60.71</v>
      </c>
      <c r="V225" s="15">
        <v>110.08</v>
      </c>
      <c r="W225" s="34">
        <v>85.4</v>
      </c>
    </row>
    <row r="226" spans="1:23" ht="14.25" customHeight="1">
      <c r="A226" s="11"/>
      <c r="B226" s="11" t="s">
        <v>234</v>
      </c>
      <c r="C226" s="11">
        <v>93.14</v>
      </c>
      <c r="D226" s="30">
        <v>87.23</v>
      </c>
      <c r="E226" s="11">
        <f t="shared" si="0"/>
        <v>90.185000000000002</v>
      </c>
      <c r="S226" s="19"/>
      <c r="T226" s="31" t="s">
        <v>1066</v>
      </c>
      <c r="U226" s="17">
        <v>82.69</v>
      </c>
      <c r="V226" s="15">
        <v>111.66</v>
      </c>
      <c r="W226" s="34">
        <v>97.18</v>
      </c>
    </row>
    <row r="227" spans="1:23" ht="14.25" customHeight="1">
      <c r="A227" s="11"/>
      <c r="B227" s="11" t="s">
        <v>235</v>
      </c>
      <c r="C227" s="11">
        <v>84.9</v>
      </c>
      <c r="D227" s="30">
        <v>86.87</v>
      </c>
      <c r="E227" s="11">
        <f t="shared" si="0"/>
        <v>85.885000000000005</v>
      </c>
      <c r="S227" s="19"/>
      <c r="T227" s="31" t="s">
        <v>1067</v>
      </c>
      <c r="U227" s="17">
        <v>74.73</v>
      </c>
      <c r="V227" s="15">
        <v>92.88</v>
      </c>
      <c r="W227" s="34">
        <v>83.81</v>
      </c>
    </row>
    <row r="228" spans="1:23" ht="14.25" customHeight="1">
      <c r="A228" s="11"/>
      <c r="B228" s="11" t="s">
        <v>236</v>
      </c>
      <c r="C228" s="11">
        <v>95.22</v>
      </c>
      <c r="D228" s="30">
        <v>79.239999999999995</v>
      </c>
      <c r="E228" s="11">
        <f t="shared" si="0"/>
        <v>87.22999999999999</v>
      </c>
      <c r="S228" s="19"/>
      <c r="T228" s="31" t="s">
        <v>1068</v>
      </c>
      <c r="U228" s="17">
        <v>60.84</v>
      </c>
      <c r="V228" s="15">
        <v>107.9</v>
      </c>
      <c r="W228" s="34">
        <v>84.37</v>
      </c>
    </row>
    <row r="229" spans="1:23" ht="14.25" customHeight="1">
      <c r="A229" s="11"/>
      <c r="B229" s="11" t="s">
        <v>237</v>
      </c>
      <c r="C229" s="11">
        <v>100.36</v>
      </c>
      <c r="D229" s="30">
        <v>89.69</v>
      </c>
      <c r="E229" s="11">
        <f t="shared" si="0"/>
        <v>95.025000000000006</v>
      </c>
      <c r="S229" s="19"/>
      <c r="T229" s="31" t="s">
        <v>1069</v>
      </c>
      <c r="U229" s="17">
        <v>101.36</v>
      </c>
      <c r="V229" s="15">
        <v>122</v>
      </c>
      <c r="W229" s="34">
        <v>111.68</v>
      </c>
    </row>
    <row r="230" spans="1:23" ht="14.25" customHeight="1">
      <c r="A230" s="11"/>
      <c r="B230" s="11" t="s">
        <v>238</v>
      </c>
      <c r="C230" s="11">
        <v>76.599999999999994</v>
      </c>
      <c r="D230" s="30">
        <v>93.9</v>
      </c>
      <c r="E230" s="11">
        <f t="shared" si="0"/>
        <v>85.25</v>
      </c>
      <c r="S230" s="19"/>
      <c r="T230" s="31" t="s">
        <v>1070</v>
      </c>
      <c r="U230" s="17">
        <v>99.5</v>
      </c>
      <c r="V230" s="15">
        <v>98.74</v>
      </c>
      <c r="W230" s="34">
        <v>99.12</v>
      </c>
    </row>
    <row r="231" spans="1:23" ht="14.25" customHeight="1">
      <c r="A231" s="11"/>
      <c r="B231" s="11" t="s">
        <v>239</v>
      </c>
      <c r="C231" s="11">
        <v>83.36</v>
      </c>
      <c r="D231" s="30">
        <v>80.650000000000006</v>
      </c>
      <c r="E231" s="11">
        <f t="shared" si="0"/>
        <v>82.004999999999995</v>
      </c>
      <c r="S231" s="19"/>
      <c r="T231" s="31" t="s">
        <v>1071</v>
      </c>
      <c r="U231" s="17">
        <v>86.53</v>
      </c>
      <c r="V231" s="15">
        <v>108.7</v>
      </c>
      <c r="W231" s="34">
        <v>97.62</v>
      </c>
    </row>
    <row r="232" spans="1:23" ht="14.25" customHeight="1">
      <c r="A232" s="11"/>
      <c r="B232" s="11" t="s">
        <v>240</v>
      </c>
      <c r="C232" s="11">
        <v>98.24</v>
      </c>
      <c r="D232" s="30">
        <v>89.46</v>
      </c>
      <c r="E232" s="11">
        <f t="shared" si="0"/>
        <v>93.85</v>
      </c>
      <c r="S232" s="19"/>
      <c r="T232" s="31" t="s">
        <v>1072</v>
      </c>
      <c r="U232" s="17">
        <v>80.02</v>
      </c>
      <c r="V232" s="15">
        <v>95.59</v>
      </c>
      <c r="W232" s="34">
        <v>87.81</v>
      </c>
    </row>
    <row r="233" spans="1:23" ht="14.25" customHeight="1">
      <c r="A233" s="11"/>
      <c r="B233" s="11" t="s">
        <v>241</v>
      </c>
      <c r="C233" s="11">
        <v>85.34</v>
      </c>
      <c r="D233" s="30">
        <v>79.36</v>
      </c>
      <c r="E233" s="11">
        <f t="shared" si="0"/>
        <v>82.35</v>
      </c>
      <c r="S233" s="19"/>
      <c r="T233" s="31" t="s">
        <v>1073</v>
      </c>
      <c r="U233" s="17">
        <v>100.15</v>
      </c>
      <c r="V233" s="15">
        <v>96.04</v>
      </c>
      <c r="W233" s="34">
        <v>98.1</v>
      </c>
    </row>
    <row r="234" spans="1:23" ht="14.25" customHeight="1">
      <c r="A234" s="11"/>
      <c r="B234" s="11" t="s">
        <v>242</v>
      </c>
      <c r="C234" s="11">
        <v>103.34</v>
      </c>
      <c r="D234" s="30">
        <v>85.3</v>
      </c>
      <c r="E234" s="11">
        <f t="shared" si="0"/>
        <v>94.32</v>
      </c>
      <c r="S234" s="19"/>
      <c r="T234" s="31" t="s">
        <v>1074</v>
      </c>
      <c r="U234" s="17">
        <v>67.16</v>
      </c>
      <c r="V234" s="15">
        <v>116.84</v>
      </c>
      <c r="W234" s="34">
        <v>92</v>
      </c>
    </row>
    <row r="235" spans="1:23" ht="14.25" customHeight="1">
      <c r="A235" s="11"/>
      <c r="B235" s="11" t="s">
        <v>243</v>
      </c>
      <c r="C235" s="11">
        <v>96.06</v>
      </c>
      <c r="D235" s="30">
        <v>81.260000000000005</v>
      </c>
      <c r="E235" s="11">
        <f t="shared" si="0"/>
        <v>88.66</v>
      </c>
      <c r="S235" s="19"/>
      <c r="T235" s="31" t="s">
        <v>1075</v>
      </c>
      <c r="U235" s="17">
        <v>114.27</v>
      </c>
      <c r="V235" s="15">
        <v>104.32</v>
      </c>
      <c r="W235" s="34">
        <v>109.3</v>
      </c>
    </row>
    <row r="236" spans="1:23" ht="14.25" customHeight="1">
      <c r="A236" s="11"/>
      <c r="B236" s="11" t="s">
        <v>244</v>
      </c>
      <c r="C236" s="11">
        <v>98.97</v>
      </c>
      <c r="D236" s="30">
        <v>86.92</v>
      </c>
      <c r="E236" s="11">
        <f t="shared" si="0"/>
        <v>92.944999999999993</v>
      </c>
      <c r="S236" s="19"/>
      <c r="T236" s="31" t="s">
        <v>1076</v>
      </c>
      <c r="U236" s="17">
        <v>111.28</v>
      </c>
      <c r="V236" s="15">
        <v>112.6</v>
      </c>
      <c r="W236" s="34">
        <v>111.94</v>
      </c>
    </row>
    <row r="237" spans="1:23" ht="14.25" customHeight="1">
      <c r="A237" s="11"/>
      <c r="B237" s="11" t="s">
        <v>245</v>
      </c>
      <c r="C237" s="11">
        <v>84.49</v>
      </c>
      <c r="D237" s="30">
        <v>98.88</v>
      </c>
      <c r="E237" s="11">
        <f t="shared" si="0"/>
        <v>91.685000000000002</v>
      </c>
      <c r="S237" s="19"/>
      <c r="T237" s="31" t="s">
        <v>1077</v>
      </c>
      <c r="U237" s="17">
        <v>92.23</v>
      </c>
      <c r="V237" s="15">
        <v>100.5</v>
      </c>
      <c r="W237" s="34">
        <v>96.37</v>
      </c>
    </row>
    <row r="238" spans="1:23" ht="14.25" customHeight="1">
      <c r="A238" s="11"/>
      <c r="B238" s="11" t="s">
        <v>246</v>
      </c>
      <c r="C238" s="11">
        <v>101.67</v>
      </c>
      <c r="D238" s="30">
        <v>99.1</v>
      </c>
      <c r="E238" s="11">
        <f t="shared" si="0"/>
        <v>100.38499999999999</v>
      </c>
      <c r="S238" s="19"/>
      <c r="T238" s="31" t="s">
        <v>1078</v>
      </c>
      <c r="U238" s="17">
        <v>72.42</v>
      </c>
      <c r="V238" s="15">
        <v>114.62</v>
      </c>
      <c r="W238" s="34">
        <v>93.52</v>
      </c>
    </row>
    <row r="239" spans="1:23" ht="14.25" customHeight="1">
      <c r="A239" s="11"/>
      <c r="B239" s="11" t="s">
        <v>247</v>
      </c>
      <c r="C239" s="11">
        <v>55.39</v>
      </c>
      <c r="D239" s="30">
        <v>86.3</v>
      </c>
      <c r="E239" s="11">
        <f t="shared" si="0"/>
        <v>70.844999999999999</v>
      </c>
      <c r="S239" s="19"/>
      <c r="T239" s="31" t="s">
        <v>1079</v>
      </c>
      <c r="U239" s="17">
        <v>96.09</v>
      </c>
      <c r="V239" s="15">
        <v>121.14</v>
      </c>
      <c r="W239" s="34">
        <v>108.62</v>
      </c>
    </row>
    <row r="240" spans="1:23" ht="14.25" customHeight="1">
      <c r="A240" s="11"/>
      <c r="B240" s="11" t="s">
        <v>248</v>
      </c>
      <c r="C240" s="11">
        <v>79.91</v>
      </c>
      <c r="D240" s="30">
        <v>97.22</v>
      </c>
      <c r="E240" s="11">
        <f t="shared" si="0"/>
        <v>88.564999999999998</v>
      </c>
      <c r="S240" s="19"/>
      <c r="T240" s="31" t="s">
        <v>1080</v>
      </c>
      <c r="U240" s="17">
        <v>132.33000000000001</v>
      </c>
      <c r="V240" s="15">
        <v>111.79</v>
      </c>
      <c r="W240" s="34">
        <v>122.06</v>
      </c>
    </row>
    <row r="241" spans="1:23" ht="14.25" customHeight="1">
      <c r="A241" s="11"/>
      <c r="B241" s="11" t="s">
        <v>249</v>
      </c>
      <c r="C241" s="11">
        <v>100.88</v>
      </c>
      <c r="D241" s="30">
        <v>99.49</v>
      </c>
      <c r="E241" s="11">
        <f t="shared" si="0"/>
        <v>100.185</v>
      </c>
      <c r="S241" s="19"/>
      <c r="T241" s="31" t="s">
        <v>1081</v>
      </c>
      <c r="U241" s="17">
        <v>57.1</v>
      </c>
      <c r="V241" s="15">
        <v>84.33</v>
      </c>
      <c r="W241" s="34">
        <v>70.72</v>
      </c>
    </row>
    <row r="242" spans="1:23" ht="14.25" customHeight="1">
      <c r="A242" s="11"/>
      <c r="B242" s="11" t="s">
        <v>250</v>
      </c>
      <c r="C242" s="11">
        <v>91.06</v>
      </c>
      <c r="D242" s="30">
        <v>99.85</v>
      </c>
      <c r="E242" s="11">
        <f t="shared" si="0"/>
        <v>95.454999999999998</v>
      </c>
      <c r="S242" s="19"/>
      <c r="T242" s="31" t="s">
        <v>1082</v>
      </c>
      <c r="U242" s="17">
        <v>110.48</v>
      </c>
      <c r="V242" s="15">
        <v>102.59</v>
      </c>
      <c r="W242" s="34">
        <v>106.54</v>
      </c>
    </row>
    <row r="243" spans="1:23" ht="14.25" customHeight="1">
      <c r="A243" s="11"/>
      <c r="B243" s="11" t="s">
        <v>251</v>
      </c>
      <c r="C243" s="11">
        <v>87.53</v>
      </c>
      <c r="D243" s="30">
        <v>88.58</v>
      </c>
      <c r="E243" s="11">
        <f t="shared" si="0"/>
        <v>88.055000000000007</v>
      </c>
      <c r="S243" s="19"/>
      <c r="T243" s="31" t="s">
        <v>1083</v>
      </c>
      <c r="U243" s="17">
        <v>102.63</v>
      </c>
      <c r="V243" s="15">
        <v>102.67</v>
      </c>
      <c r="W243" s="34">
        <v>102.65</v>
      </c>
    </row>
    <row r="244" spans="1:23" ht="14.25" customHeight="1">
      <c r="A244" s="11"/>
      <c r="B244" s="11" t="s">
        <v>252</v>
      </c>
      <c r="C244" s="11">
        <v>87.51</v>
      </c>
      <c r="D244" s="30">
        <v>94.24</v>
      </c>
      <c r="E244" s="11">
        <f t="shared" si="0"/>
        <v>90.875</v>
      </c>
      <c r="S244" s="19"/>
      <c r="T244" s="31" t="s">
        <v>1084</v>
      </c>
      <c r="U244" s="17">
        <v>97.47</v>
      </c>
      <c r="V244" s="15">
        <v>122.41</v>
      </c>
      <c r="W244" s="34">
        <v>109.94</v>
      </c>
    </row>
    <row r="245" spans="1:23" ht="14.25" customHeight="1">
      <c r="A245" s="11"/>
      <c r="B245" s="11" t="s">
        <v>253</v>
      </c>
      <c r="C245" s="11">
        <v>91.11</v>
      </c>
      <c r="D245" s="30">
        <v>82.76</v>
      </c>
      <c r="E245" s="11">
        <f t="shared" si="0"/>
        <v>86.935000000000002</v>
      </c>
      <c r="S245" s="19"/>
      <c r="T245" s="31" t="s">
        <v>1085</v>
      </c>
      <c r="U245" s="17">
        <v>92.39</v>
      </c>
      <c r="V245" s="15">
        <v>85.38</v>
      </c>
      <c r="W245" s="34">
        <v>88.89</v>
      </c>
    </row>
    <row r="246" spans="1:23" ht="14.25" customHeight="1">
      <c r="A246" s="11"/>
      <c r="B246" s="11" t="s">
        <v>254</v>
      </c>
      <c r="C246" s="11">
        <v>107.9</v>
      </c>
      <c r="D246" s="30">
        <v>102.54</v>
      </c>
      <c r="E246" s="11">
        <f t="shared" si="0"/>
        <v>105.22</v>
      </c>
      <c r="S246" s="19"/>
      <c r="T246" s="31" t="s">
        <v>1086</v>
      </c>
      <c r="U246" s="17">
        <v>65.62</v>
      </c>
      <c r="V246" s="15">
        <v>315.94</v>
      </c>
      <c r="W246" s="34">
        <v>190.78</v>
      </c>
    </row>
    <row r="247" spans="1:23" ht="14.25" customHeight="1">
      <c r="A247" s="11"/>
      <c r="B247" s="11" t="s">
        <v>255</v>
      </c>
      <c r="C247" s="11">
        <v>92.43</v>
      </c>
      <c r="D247" s="30">
        <v>86.12</v>
      </c>
      <c r="E247" s="11">
        <f t="shared" si="0"/>
        <v>89.275000000000006</v>
      </c>
      <c r="S247" s="19"/>
      <c r="T247" s="31" t="s">
        <v>1087</v>
      </c>
      <c r="U247" s="17">
        <v>75.209999999999994</v>
      </c>
      <c r="V247" s="15">
        <v>122.91</v>
      </c>
      <c r="W247" s="34">
        <v>99.06</v>
      </c>
    </row>
    <row r="248" spans="1:23" ht="14.25" customHeight="1">
      <c r="A248" s="11"/>
      <c r="B248" s="11" t="s">
        <v>256</v>
      </c>
      <c r="C248" s="11">
        <v>89.51</v>
      </c>
      <c r="D248" s="30">
        <v>92.51</v>
      </c>
      <c r="E248" s="11">
        <f t="shared" si="0"/>
        <v>91.01</v>
      </c>
      <c r="S248" s="19"/>
      <c r="T248" s="31" t="s">
        <v>1088</v>
      </c>
      <c r="U248" s="17">
        <v>100.88</v>
      </c>
      <c r="V248" s="15">
        <v>101.38</v>
      </c>
      <c r="W248" s="34">
        <v>101.13</v>
      </c>
    </row>
    <row r="249" spans="1:23" ht="14.25" customHeight="1">
      <c r="A249" s="11"/>
      <c r="B249" s="11" t="s">
        <v>257</v>
      </c>
      <c r="C249" s="11">
        <v>79.2</v>
      </c>
      <c r="D249" s="30">
        <v>97.33</v>
      </c>
      <c r="E249" s="11">
        <f t="shared" si="0"/>
        <v>88.265000000000001</v>
      </c>
      <c r="S249" s="19"/>
      <c r="T249" s="31" t="s">
        <v>1089</v>
      </c>
      <c r="U249" s="17">
        <v>94.23</v>
      </c>
      <c r="V249" s="15">
        <v>121.48</v>
      </c>
      <c r="W249" s="34">
        <v>107.86</v>
      </c>
    </row>
    <row r="250" spans="1:23" ht="14.25" customHeight="1">
      <c r="D250" s="38"/>
      <c r="S250" s="19"/>
      <c r="T250" s="31" t="s">
        <v>1090</v>
      </c>
      <c r="U250" s="17">
        <v>110.09</v>
      </c>
      <c r="V250" s="15">
        <v>95.91</v>
      </c>
      <c r="W250" s="34">
        <v>103</v>
      </c>
    </row>
    <row r="251" spans="1:23" ht="14.25" customHeight="1">
      <c r="D251" s="38"/>
      <c r="S251" s="19"/>
      <c r="T251" s="31" t="s">
        <v>1091</v>
      </c>
      <c r="U251" s="17">
        <v>86.27</v>
      </c>
      <c r="V251" s="15">
        <v>110.61</v>
      </c>
      <c r="W251" s="34">
        <v>98.44</v>
      </c>
    </row>
    <row r="252" spans="1:23" ht="14.25" customHeight="1">
      <c r="D252" s="38"/>
      <c r="S252" s="19"/>
      <c r="T252" s="31" t="s">
        <v>1092</v>
      </c>
      <c r="U252" s="17">
        <v>104.72</v>
      </c>
      <c r="V252" s="15">
        <v>112.42</v>
      </c>
      <c r="W252" s="34">
        <v>108.57</v>
      </c>
    </row>
    <row r="253" spans="1:23" ht="14.25" customHeight="1">
      <c r="D253" s="38"/>
      <c r="S253" s="19"/>
      <c r="T253" s="31" t="s">
        <v>1093</v>
      </c>
      <c r="U253" s="17">
        <v>88.28</v>
      </c>
      <c r="V253" s="15">
        <v>104.56</v>
      </c>
      <c r="W253" s="34">
        <v>96.42</v>
      </c>
    </row>
    <row r="254" spans="1:23" ht="14.25" customHeight="1">
      <c r="D254" s="38"/>
      <c r="S254" s="19"/>
      <c r="T254" s="31" t="s">
        <v>1094</v>
      </c>
      <c r="U254" s="17">
        <v>59.92</v>
      </c>
      <c r="V254" s="15">
        <v>118.53</v>
      </c>
      <c r="W254" s="34">
        <v>89.23</v>
      </c>
    </row>
    <row r="255" spans="1:23" ht="14.25" customHeight="1">
      <c r="D255" s="38"/>
      <c r="S255" s="19"/>
      <c r="T255" s="31" t="s">
        <v>1095</v>
      </c>
      <c r="U255" s="17">
        <v>121.53</v>
      </c>
      <c r="V255" s="15">
        <v>95.33</v>
      </c>
      <c r="W255" s="34">
        <v>108.43</v>
      </c>
    </row>
    <row r="256" spans="1:23" ht="14.25" customHeight="1">
      <c r="D256" s="38"/>
      <c r="S256" s="19"/>
      <c r="T256" s="31" t="s">
        <v>1096</v>
      </c>
      <c r="U256" s="17">
        <v>96.4</v>
      </c>
      <c r="V256" s="15">
        <v>98.39</v>
      </c>
      <c r="W256" s="34">
        <v>97.4</v>
      </c>
    </row>
    <row r="257" spans="4:23" ht="14.25" customHeight="1">
      <c r="D257" s="38"/>
      <c r="S257" s="19"/>
      <c r="T257" s="31" t="s">
        <v>1097</v>
      </c>
      <c r="U257" s="17">
        <v>77.239999999999995</v>
      </c>
      <c r="V257" s="15">
        <v>118.6</v>
      </c>
      <c r="W257" s="34">
        <v>97.92</v>
      </c>
    </row>
    <row r="258" spans="4:23" ht="14.25" customHeight="1">
      <c r="D258" s="38"/>
      <c r="S258" s="19"/>
      <c r="T258" s="31" t="s">
        <v>1098</v>
      </c>
      <c r="U258" s="17">
        <v>89.49</v>
      </c>
      <c r="V258" s="15">
        <v>86.04</v>
      </c>
      <c r="W258" s="34">
        <v>87.77</v>
      </c>
    </row>
    <row r="259" spans="4:23" ht="14.25" customHeight="1">
      <c r="D259" s="38"/>
      <c r="S259" s="19"/>
      <c r="T259" s="31" t="s">
        <v>1099</v>
      </c>
      <c r="U259" s="17">
        <v>123.68</v>
      </c>
      <c r="V259" s="15">
        <v>122.67</v>
      </c>
      <c r="W259" s="34">
        <v>123.18</v>
      </c>
    </row>
    <row r="260" spans="4:23" ht="14.25" customHeight="1">
      <c r="D260" s="38"/>
      <c r="S260" s="19"/>
      <c r="T260" s="31" t="s">
        <v>1100</v>
      </c>
      <c r="U260" s="17">
        <v>98.73</v>
      </c>
      <c r="V260" s="15">
        <v>100.35</v>
      </c>
      <c r="W260" s="34">
        <v>99.54</v>
      </c>
    </row>
    <row r="261" spans="4:23" ht="14.25" customHeight="1">
      <c r="D261" s="38"/>
      <c r="S261" s="19"/>
      <c r="T261" s="31" t="s">
        <v>1101</v>
      </c>
      <c r="U261" s="17">
        <v>89.04</v>
      </c>
      <c r="V261" s="15">
        <v>93.94</v>
      </c>
      <c r="W261" s="34">
        <v>91.49</v>
      </c>
    </row>
    <row r="262" spans="4:23" ht="14.25" customHeight="1">
      <c r="D262" s="38"/>
      <c r="S262" s="19"/>
      <c r="T262" s="31" t="s">
        <v>1102</v>
      </c>
      <c r="U262" s="17">
        <v>43.75</v>
      </c>
      <c r="V262" s="15">
        <v>126.39</v>
      </c>
      <c r="W262" s="34">
        <v>85.07</v>
      </c>
    </row>
    <row r="263" spans="4:23" ht="14.25" customHeight="1">
      <c r="S263" s="19"/>
      <c r="T263" s="31" t="s">
        <v>1103</v>
      </c>
      <c r="U263" s="17">
        <v>72.13</v>
      </c>
      <c r="V263" s="15">
        <v>63.89</v>
      </c>
      <c r="W263" s="34">
        <v>68.010000000000005</v>
      </c>
    </row>
    <row r="264" spans="4:23" ht="14.25" customHeight="1">
      <c r="S264" s="19"/>
      <c r="T264" s="31" t="s">
        <v>1104</v>
      </c>
      <c r="U264" s="17">
        <v>66.8</v>
      </c>
      <c r="V264" s="15">
        <v>93.24</v>
      </c>
      <c r="W264" s="34">
        <v>80.02</v>
      </c>
    </row>
    <row r="265" spans="4:23" ht="14.25" customHeight="1">
      <c r="S265" s="19"/>
      <c r="T265" s="31" t="s">
        <v>1105</v>
      </c>
      <c r="U265" s="17">
        <v>112.39</v>
      </c>
      <c r="V265" s="15">
        <v>96.95</v>
      </c>
      <c r="W265" s="34">
        <v>104.67</v>
      </c>
    </row>
    <row r="266" spans="4:23" ht="14.25" customHeight="1">
      <c r="S266" s="19"/>
      <c r="T266" s="31" t="s">
        <v>1106</v>
      </c>
      <c r="U266" s="17">
        <v>55.13</v>
      </c>
      <c r="V266" s="15">
        <v>105.22</v>
      </c>
      <c r="W266" s="34">
        <v>80.180000000000007</v>
      </c>
    </row>
    <row r="267" spans="4:23" ht="14.25" customHeight="1">
      <c r="S267" s="19"/>
      <c r="T267" s="31" t="s">
        <v>1107</v>
      </c>
      <c r="U267" s="17">
        <v>23.93</v>
      </c>
      <c r="V267" s="15">
        <v>110.29</v>
      </c>
      <c r="W267" s="34">
        <v>67.11</v>
      </c>
    </row>
    <row r="268" spans="4:23" ht="14.25" customHeight="1">
      <c r="S268" s="19"/>
      <c r="T268" s="31" t="s">
        <v>1108</v>
      </c>
      <c r="U268" s="17">
        <v>134.29</v>
      </c>
      <c r="V268" s="15">
        <v>108.29</v>
      </c>
      <c r="W268" s="34">
        <v>121.29</v>
      </c>
    </row>
    <row r="269" spans="4:23" ht="14.25" customHeight="1">
      <c r="S269" s="19"/>
      <c r="T269" s="31" t="s">
        <v>1109</v>
      </c>
      <c r="U269" s="17">
        <v>83.83</v>
      </c>
      <c r="V269" s="15">
        <v>94.84</v>
      </c>
      <c r="W269" s="34">
        <v>89.34</v>
      </c>
    </row>
    <row r="270" spans="4:23" ht="14.25" customHeight="1">
      <c r="S270" s="19"/>
      <c r="T270" s="31" t="s">
        <v>1110</v>
      </c>
      <c r="U270" s="17">
        <v>87.3</v>
      </c>
      <c r="V270" s="15">
        <v>104.57</v>
      </c>
      <c r="W270" s="34">
        <v>95.94</v>
      </c>
    </row>
    <row r="271" spans="4:23" ht="14.25" customHeight="1">
      <c r="S271" s="19"/>
      <c r="T271" s="31" t="s">
        <v>1111</v>
      </c>
      <c r="U271" s="17">
        <v>69.430000000000007</v>
      </c>
      <c r="V271" s="15">
        <v>84.89</v>
      </c>
      <c r="W271" s="34">
        <v>77.16</v>
      </c>
    </row>
    <row r="272" spans="4:23" ht="14.25" customHeight="1">
      <c r="S272" s="19"/>
      <c r="T272" s="31" t="s">
        <v>1112</v>
      </c>
      <c r="U272" s="17">
        <v>99.63</v>
      </c>
      <c r="V272" s="15">
        <v>98.04</v>
      </c>
      <c r="W272" s="34">
        <v>98.84</v>
      </c>
    </row>
    <row r="273" spans="19:23" ht="14.25" customHeight="1">
      <c r="S273" s="19"/>
      <c r="T273" s="31" t="s">
        <v>1113</v>
      </c>
      <c r="U273" s="17">
        <v>96.06</v>
      </c>
      <c r="V273" s="15">
        <v>96.13</v>
      </c>
      <c r="W273" s="34">
        <v>96.1</v>
      </c>
    </row>
    <row r="274" spans="19:23" ht="14.25" customHeight="1">
      <c r="S274" s="19"/>
      <c r="T274" s="31" t="s">
        <v>1114</v>
      </c>
      <c r="U274" s="17">
        <v>87.07</v>
      </c>
      <c r="V274" s="15">
        <v>107.21</v>
      </c>
      <c r="W274" s="34">
        <v>97.14</v>
      </c>
    </row>
    <row r="275" spans="19:23" ht="14.25" customHeight="1">
      <c r="S275" s="19"/>
      <c r="T275" s="31" t="s">
        <v>1115</v>
      </c>
      <c r="U275" s="17">
        <v>106.6</v>
      </c>
      <c r="V275" s="15">
        <v>94.38</v>
      </c>
      <c r="W275" s="34">
        <v>100.49</v>
      </c>
    </row>
    <row r="276" spans="19:23" ht="14.25" customHeight="1">
      <c r="S276" s="19"/>
      <c r="T276" s="31" t="s">
        <v>1116</v>
      </c>
      <c r="U276" s="17">
        <v>92.31</v>
      </c>
      <c r="V276" s="15">
        <v>106.44</v>
      </c>
      <c r="W276" s="34">
        <v>99.38</v>
      </c>
    </row>
    <row r="277" spans="19:23" ht="14.25" customHeight="1">
      <c r="S277" s="19"/>
      <c r="T277" s="31" t="s">
        <v>1117</v>
      </c>
      <c r="U277" s="17">
        <v>82.7</v>
      </c>
      <c r="V277" s="15">
        <v>94.01</v>
      </c>
      <c r="W277" s="34">
        <v>88.36</v>
      </c>
    </row>
    <row r="278" spans="19:23" ht="14.25" customHeight="1">
      <c r="S278" s="19"/>
      <c r="T278" s="31" t="s">
        <v>1118</v>
      </c>
      <c r="U278" s="17">
        <v>68.84</v>
      </c>
      <c r="V278" s="15">
        <v>95.28</v>
      </c>
      <c r="W278" s="34">
        <v>82.06</v>
      </c>
    </row>
    <row r="279" spans="19:23" ht="14.25" customHeight="1">
      <c r="S279" s="19"/>
      <c r="T279" s="31" t="s">
        <v>1119</v>
      </c>
      <c r="U279" s="17">
        <v>95.08</v>
      </c>
      <c r="V279" s="15">
        <v>87.67</v>
      </c>
      <c r="W279" s="34">
        <v>91.38</v>
      </c>
    </row>
    <row r="280" spans="19:23" ht="14.25" customHeight="1">
      <c r="S280" s="19"/>
      <c r="T280" s="31" t="s">
        <v>1120</v>
      </c>
      <c r="U280" s="17">
        <v>53.13</v>
      </c>
      <c r="V280" s="15">
        <v>108.41</v>
      </c>
      <c r="W280" s="34">
        <v>80.77</v>
      </c>
    </row>
    <row r="281" spans="19:23" ht="14.25" customHeight="1">
      <c r="S281" s="19"/>
      <c r="T281" s="31" t="s">
        <v>1121</v>
      </c>
      <c r="U281" s="17">
        <v>105.45</v>
      </c>
      <c r="V281" s="15">
        <v>90.41</v>
      </c>
      <c r="W281" s="34">
        <v>97.93</v>
      </c>
    </row>
    <row r="282" spans="19:23" ht="14.25" customHeight="1">
      <c r="S282" s="19"/>
      <c r="T282" s="31" t="s">
        <v>1122</v>
      </c>
      <c r="U282" s="17">
        <v>85.64</v>
      </c>
      <c r="V282" s="15">
        <v>241.79</v>
      </c>
      <c r="W282" s="34">
        <v>163.72</v>
      </c>
    </row>
    <row r="283" spans="19:23" ht="14.25" customHeight="1">
      <c r="S283" s="19"/>
      <c r="T283" s="31" t="s">
        <v>1123</v>
      </c>
      <c r="U283" s="17">
        <v>100.78</v>
      </c>
      <c r="V283" s="15">
        <v>117.55</v>
      </c>
      <c r="W283" s="34">
        <v>109.17</v>
      </c>
    </row>
    <row r="284" spans="19:23" ht="14.25" customHeight="1">
      <c r="S284" s="19"/>
      <c r="T284" s="31" t="s">
        <v>1124</v>
      </c>
      <c r="U284" s="17">
        <v>16.53</v>
      </c>
      <c r="V284" s="15">
        <v>109.27</v>
      </c>
      <c r="W284" s="34">
        <v>62.9</v>
      </c>
    </row>
    <row r="285" spans="19:23" ht="14.25" customHeight="1">
      <c r="S285" s="19"/>
      <c r="T285" s="40"/>
      <c r="U285" s="35"/>
      <c r="V285" s="40"/>
      <c r="W285" s="34">
        <v>0</v>
      </c>
    </row>
    <row r="286" spans="19:23" ht="14.25" customHeight="1">
      <c r="S286" s="19"/>
      <c r="T286" s="31" t="s">
        <v>1125</v>
      </c>
      <c r="U286" s="17">
        <v>100</v>
      </c>
      <c r="V286" s="15">
        <v>106.44</v>
      </c>
      <c r="W286" s="34">
        <v>103.22</v>
      </c>
    </row>
    <row r="287" spans="19:23" ht="14.25" customHeight="1">
      <c r="S287" s="19"/>
      <c r="T287" s="31" t="s">
        <v>1126</v>
      </c>
      <c r="U287" s="17">
        <v>86.94</v>
      </c>
      <c r="V287" s="15">
        <v>94.91</v>
      </c>
      <c r="W287" s="34">
        <v>90.93</v>
      </c>
    </row>
    <row r="288" spans="19:23" ht="14.25" customHeight="1">
      <c r="S288" s="19"/>
      <c r="T288" s="31" t="s">
        <v>1127</v>
      </c>
      <c r="U288" s="17">
        <v>48.47</v>
      </c>
      <c r="V288" s="15">
        <v>140.58000000000001</v>
      </c>
      <c r="W288" s="34">
        <v>94.53</v>
      </c>
    </row>
    <row r="289" spans="19:23" ht="14.25" customHeight="1">
      <c r="S289" s="19"/>
      <c r="T289" s="31" t="s">
        <v>1128</v>
      </c>
      <c r="U289" s="17">
        <v>95.43</v>
      </c>
      <c r="V289" s="15">
        <v>121.21</v>
      </c>
      <c r="W289" s="34">
        <v>108.32</v>
      </c>
    </row>
    <row r="290" spans="19:23" ht="14.25" customHeight="1">
      <c r="S290" s="19"/>
      <c r="T290" s="31" t="s">
        <v>1129</v>
      </c>
      <c r="U290" s="17">
        <v>96.75</v>
      </c>
      <c r="V290" s="15">
        <v>100.91</v>
      </c>
      <c r="W290" s="34">
        <v>98.83</v>
      </c>
    </row>
    <row r="291" spans="19:23" ht="14.25" customHeight="1">
      <c r="S291" s="19"/>
      <c r="T291" s="31" t="s">
        <v>1130</v>
      </c>
      <c r="U291" s="17">
        <v>89.77</v>
      </c>
      <c r="V291" s="15">
        <v>73.45</v>
      </c>
      <c r="W291" s="34">
        <v>81.61</v>
      </c>
    </row>
    <row r="292" spans="19:23" ht="14.25" customHeight="1">
      <c r="S292" s="19"/>
      <c r="T292" s="31" t="s">
        <v>1131</v>
      </c>
      <c r="U292" s="17">
        <v>97.64</v>
      </c>
      <c r="V292" s="15">
        <v>103.06</v>
      </c>
      <c r="W292" s="34">
        <v>100.35</v>
      </c>
    </row>
    <row r="293" spans="19:23" ht="14.25" customHeight="1">
      <c r="S293" s="19"/>
      <c r="T293" s="31" t="s">
        <v>1132</v>
      </c>
      <c r="U293" s="17">
        <v>92.81</v>
      </c>
      <c r="V293" s="15">
        <v>130.9</v>
      </c>
      <c r="W293" s="34">
        <v>111.86</v>
      </c>
    </row>
    <row r="294" spans="19:23" ht="14.25" customHeight="1">
      <c r="S294" s="19"/>
      <c r="T294" s="31" t="s">
        <v>1133</v>
      </c>
      <c r="U294" s="17">
        <v>100</v>
      </c>
      <c r="V294" s="15">
        <v>90.84</v>
      </c>
      <c r="W294" s="34">
        <v>95.42</v>
      </c>
    </row>
    <row r="295" spans="19:23" ht="14.25" customHeight="1">
      <c r="S295" s="19"/>
      <c r="T295" s="31" t="s">
        <v>1134</v>
      </c>
      <c r="U295" s="17">
        <v>119.51</v>
      </c>
      <c r="V295" s="15">
        <v>101.75</v>
      </c>
      <c r="W295" s="34">
        <v>110.63</v>
      </c>
    </row>
    <row r="296" spans="19:23" ht="14.25" customHeight="1">
      <c r="S296" s="19"/>
      <c r="T296" s="31" t="s">
        <v>1135</v>
      </c>
      <c r="U296" s="17">
        <v>115.23</v>
      </c>
      <c r="V296" s="15">
        <v>114.81</v>
      </c>
      <c r="W296" s="34">
        <v>115.02</v>
      </c>
    </row>
    <row r="297" spans="19:23" ht="14.25" customHeight="1">
      <c r="S297" s="19"/>
      <c r="T297" s="31" t="s">
        <v>1136</v>
      </c>
      <c r="U297" s="17">
        <v>61.64</v>
      </c>
      <c r="V297" s="15">
        <v>100.1</v>
      </c>
      <c r="W297" s="34">
        <v>80.87</v>
      </c>
    </row>
    <row r="298" spans="19:23" ht="14.25" customHeight="1">
      <c r="S298" s="19"/>
      <c r="T298" s="31" t="s">
        <v>1137</v>
      </c>
      <c r="U298" s="17">
        <v>39.18</v>
      </c>
      <c r="V298" s="15">
        <v>97.06</v>
      </c>
      <c r="W298" s="34">
        <v>68.12</v>
      </c>
    </row>
    <row r="299" spans="19:23" ht="14.25" customHeight="1">
      <c r="S299" s="19"/>
      <c r="T299" s="31" t="s">
        <v>1138</v>
      </c>
      <c r="U299" s="17">
        <v>59.16</v>
      </c>
      <c r="V299" s="15">
        <v>103.42</v>
      </c>
      <c r="W299" s="34">
        <v>81.290000000000006</v>
      </c>
    </row>
    <row r="300" spans="19:23" ht="14.25" customHeight="1">
      <c r="S300" s="19"/>
      <c r="T300" s="31" t="s">
        <v>1139</v>
      </c>
      <c r="U300" s="17">
        <v>83.46</v>
      </c>
      <c r="V300" s="15">
        <v>107.44</v>
      </c>
      <c r="W300" s="34">
        <v>95.45</v>
      </c>
    </row>
    <row r="301" spans="19:23" ht="14.25" customHeight="1">
      <c r="S301" s="19"/>
      <c r="T301" s="31" t="s">
        <v>1140</v>
      </c>
      <c r="U301" s="17">
        <v>67.290000000000006</v>
      </c>
      <c r="V301" s="15">
        <v>108</v>
      </c>
      <c r="W301" s="34">
        <v>87.65</v>
      </c>
    </row>
    <row r="302" spans="19:23" ht="14.25" customHeight="1">
      <c r="S302" s="19"/>
      <c r="T302" s="31" t="s">
        <v>1141</v>
      </c>
      <c r="U302" s="17">
        <v>73.11</v>
      </c>
      <c r="V302" s="15">
        <v>119.84</v>
      </c>
      <c r="W302" s="34">
        <v>96.48</v>
      </c>
    </row>
    <row r="303" spans="19:23" ht="14.25" customHeight="1">
      <c r="S303" s="19"/>
      <c r="T303" s="31" t="s">
        <v>1142</v>
      </c>
      <c r="U303" s="17">
        <v>66.72</v>
      </c>
      <c r="V303" s="15">
        <v>126.88</v>
      </c>
      <c r="W303" s="34">
        <v>96.8</v>
      </c>
    </row>
    <row r="304" spans="19:23" ht="14.25" customHeight="1">
      <c r="S304" s="19"/>
      <c r="T304" s="31" t="s">
        <v>1143</v>
      </c>
      <c r="U304" s="17">
        <v>60.36</v>
      </c>
      <c r="V304" s="15">
        <v>96.15</v>
      </c>
      <c r="W304" s="34">
        <v>78.260000000000005</v>
      </c>
    </row>
    <row r="305" spans="19:23" ht="14.25" customHeight="1">
      <c r="S305" s="19"/>
      <c r="T305" s="31" t="s">
        <v>1144</v>
      </c>
      <c r="U305" s="17">
        <v>59.05</v>
      </c>
      <c r="V305" s="15">
        <v>115.82</v>
      </c>
      <c r="W305" s="34">
        <v>87.44</v>
      </c>
    </row>
    <row r="306" spans="19:23" ht="14.25" customHeight="1">
      <c r="S306" s="19"/>
      <c r="T306" s="31" t="s">
        <v>1145</v>
      </c>
      <c r="U306" s="17">
        <v>69.83</v>
      </c>
      <c r="V306" s="15">
        <v>88.22</v>
      </c>
      <c r="W306" s="34">
        <v>79.03</v>
      </c>
    </row>
    <row r="307" spans="19:23" ht="14.25" customHeight="1">
      <c r="S307" s="19"/>
      <c r="T307" s="31" t="s">
        <v>1146</v>
      </c>
      <c r="U307" s="17">
        <v>112.13</v>
      </c>
      <c r="V307" s="15">
        <v>112.18</v>
      </c>
      <c r="W307" s="34">
        <v>112.16</v>
      </c>
    </row>
    <row r="308" spans="19:23" ht="14.25" customHeight="1">
      <c r="S308" s="19"/>
      <c r="T308" s="31" t="s">
        <v>1147</v>
      </c>
      <c r="U308" s="17">
        <v>70.86</v>
      </c>
      <c r="V308" s="15">
        <v>105.19</v>
      </c>
      <c r="W308" s="34">
        <v>88.03</v>
      </c>
    </row>
    <row r="309" spans="19:23" ht="14.25" customHeight="1">
      <c r="S309" s="19"/>
      <c r="T309" s="31" t="s">
        <v>1148</v>
      </c>
      <c r="U309" s="17">
        <v>78.19</v>
      </c>
      <c r="V309" s="15">
        <v>109.92</v>
      </c>
      <c r="W309" s="34">
        <v>94.06</v>
      </c>
    </row>
    <row r="310" spans="19:23" ht="14.25" customHeight="1">
      <c r="S310" s="19"/>
      <c r="T310" s="31" t="s">
        <v>1149</v>
      </c>
      <c r="U310" s="17">
        <v>16.850000000000001</v>
      </c>
      <c r="V310" s="15">
        <v>102.06</v>
      </c>
      <c r="W310" s="34">
        <v>59.46</v>
      </c>
    </row>
    <row r="311" spans="19:23" ht="14.25" customHeight="1">
      <c r="S311" s="19"/>
      <c r="T311" s="31" t="s">
        <v>1150</v>
      </c>
      <c r="U311" s="17">
        <v>80.510000000000005</v>
      </c>
      <c r="V311" s="15">
        <v>124.39</v>
      </c>
      <c r="W311" s="34">
        <v>102.45</v>
      </c>
    </row>
    <row r="312" spans="19:23" ht="14.25" customHeight="1">
      <c r="S312" s="19"/>
      <c r="T312" s="31" t="s">
        <v>1151</v>
      </c>
      <c r="U312" s="17">
        <v>56.23</v>
      </c>
      <c r="V312" s="15">
        <v>97.17</v>
      </c>
      <c r="W312" s="34">
        <v>76.7</v>
      </c>
    </row>
    <row r="313" spans="19:23" ht="14.25" customHeight="1">
      <c r="S313" s="19"/>
      <c r="T313" s="31" t="s">
        <v>1152</v>
      </c>
      <c r="U313" s="17">
        <v>102.52</v>
      </c>
      <c r="V313" s="15">
        <v>96.79</v>
      </c>
      <c r="W313" s="34">
        <v>99.66</v>
      </c>
    </row>
    <row r="314" spans="19:23" ht="14.25" customHeight="1">
      <c r="S314" s="19"/>
      <c r="T314" s="31" t="s">
        <v>1153</v>
      </c>
      <c r="U314" s="17">
        <v>57.72</v>
      </c>
      <c r="V314" s="15">
        <v>112.72</v>
      </c>
      <c r="W314" s="34">
        <v>85.22</v>
      </c>
    </row>
    <row r="315" spans="19:23" ht="14.25" customHeight="1">
      <c r="S315" s="19"/>
      <c r="T315" s="31" t="s">
        <v>1154</v>
      </c>
      <c r="U315" s="17">
        <v>27.79</v>
      </c>
      <c r="V315" s="15">
        <v>99.65</v>
      </c>
      <c r="W315" s="34">
        <v>63.72</v>
      </c>
    </row>
    <row r="316" spans="19:23" ht="14.25" customHeight="1">
      <c r="S316" s="19"/>
      <c r="T316" s="31" t="s">
        <v>1155</v>
      </c>
      <c r="U316" s="17">
        <v>115.03</v>
      </c>
      <c r="V316" s="15">
        <v>82.74</v>
      </c>
      <c r="W316" s="34">
        <v>98.89</v>
      </c>
    </row>
    <row r="317" spans="19:23" ht="14.25" customHeight="1">
      <c r="S317" s="19"/>
      <c r="T317" s="31" t="s">
        <v>1156</v>
      </c>
      <c r="U317" s="17">
        <v>34</v>
      </c>
      <c r="V317" s="15">
        <v>105.87</v>
      </c>
      <c r="W317" s="34">
        <v>69.94</v>
      </c>
    </row>
    <row r="318" spans="19:23" ht="14.25" customHeight="1">
      <c r="S318" s="19"/>
      <c r="T318" s="31" t="s">
        <v>1157</v>
      </c>
      <c r="U318" s="17">
        <v>75.86</v>
      </c>
      <c r="V318" s="15">
        <v>111.11</v>
      </c>
      <c r="W318" s="34">
        <v>93.49</v>
      </c>
    </row>
    <row r="319" spans="19:23" ht="14.25" customHeight="1">
      <c r="S319" s="19"/>
      <c r="T319" s="31" t="s">
        <v>1158</v>
      </c>
      <c r="U319" s="17">
        <v>93.05</v>
      </c>
      <c r="V319" s="15">
        <v>105.26</v>
      </c>
      <c r="W319" s="34">
        <v>99.16</v>
      </c>
    </row>
    <row r="320" spans="19:23" ht="14.25" customHeight="1">
      <c r="S320" s="19"/>
      <c r="T320" s="31" t="s">
        <v>1159</v>
      </c>
      <c r="U320" s="17">
        <v>99.76</v>
      </c>
      <c r="V320" s="15">
        <v>106.07</v>
      </c>
      <c r="W320" s="34">
        <v>102.92</v>
      </c>
    </row>
    <row r="321" spans="19:23" ht="14.25" customHeight="1">
      <c r="S321" s="19"/>
      <c r="T321" s="31" t="s">
        <v>1160</v>
      </c>
      <c r="U321" s="17">
        <v>95.16</v>
      </c>
      <c r="V321" s="15">
        <v>96.14</v>
      </c>
      <c r="W321" s="34">
        <v>95.65</v>
      </c>
    </row>
    <row r="322" spans="19:23" ht="14.25" customHeight="1">
      <c r="S322" s="19"/>
      <c r="T322" s="31" t="s">
        <v>1161</v>
      </c>
      <c r="U322" s="17">
        <v>10.17</v>
      </c>
      <c r="V322" s="15">
        <v>120.39</v>
      </c>
      <c r="W322" s="34">
        <v>65.28</v>
      </c>
    </row>
    <row r="323" spans="19:23" ht="14.25" customHeight="1">
      <c r="S323" s="19"/>
      <c r="T323" s="31" t="s">
        <v>1162</v>
      </c>
      <c r="U323" s="17">
        <v>99.76</v>
      </c>
      <c r="V323" s="15">
        <v>97.74</v>
      </c>
      <c r="W323" s="34">
        <v>98.75</v>
      </c>
    </row>
    <row r="324" spans="19:23" ht="14.25" customHeight="1">
      <c r="S324" s="19"/>
      <c r="T324" s="31" t="s">
        <v>1163</v>
      </c>
      <c r="U324" s="17">
        <v>88.66</v>
      </c>
      <c r="V324" s="15">
        <v>107.94</v>
      </c>
      <c r="W324" s="34">
        <v>98.3</v>
      </c>
    </row>
    <row r="325" spans="19:23" ht="14.25" customHeight="1">
      <c r="S325" s="19"/>
      <c r="T325" s="31" t="s">
        <v>1164</v>
      </c>
      <c r="U325" s="17">
        <v>56.15</v>
      </c>
      <c r="V325" s="15">
        <v>111.28</v>
      </c>
      <c r="W325" s="34">
        <v>83.72</v>
      </c>
    </row>
    <row r="326" spans="19:23" ht="14.25" customHeight="1">
      <c r="S326" s="19"/>
      <c r="T326" s="31" t="s">
        <v>1165</v>
      </c>
      <c r="U326" s="17">
        <v>85.89</v>
      </c>
      <c r="V326" s="15">
        <v>128.81</v>
      </c>
      <c r="W326" s="34">
        <v>107.35</v>
      </c>
    </row>
    <row r="327" spans="19:23" ht="14.25" customHeight="1">
      <c r="S327" s="19"/>
      <c r="T327" s="31" t="s">
        <v>1166</v>
      </c>
      <c r="U327" s="17">
        <v>91.55</v>
      </c>
      <c r="V327" s="15">
        <v>79</v>
      </c>
      <c r="W327" s="34">
        <v>85.28</v>
      </c>
    </row>
    <row r="328" spans="19:23" ht="14.25" customHeight="1">
      <c r="S328" s="19"/>
      <c r="T328" s="31" t="s">
        <v>1167</v>
      </c>
      <c r="U328" s="17">
        <v>103.55</v>
      </c>
      <c r="V328" s="15">
        <v>98.79</v>
      </c>
      <c r="W328" s="34">
        <v>101.17</v>
      </c>
    </row>
    <row r="329" spans="19:23" ht="14.25" customHeight="1">
      <c r="S329" s="19"/>
      <c r="T329" s="31" t="s">
        <v>1168</v>
      </c>
      <c r="U329" s="17">
        <v>93.16</v>
      </c>
      <c r="V329" s="15">
        <v>96.5</v>
      </c>
      <c r="W329" s="34">
        <v>94.83</v>
      </c>
    </row>
    <row r="330" spans="19:23" ht="14.25" customHeight="1">
      <c r="S330" s="19"/>
      <c r="T330" s="31" t="s">
        <v>1169</v>
      </c>
      <c r="U330" s="17">
        <v>97.33</v>
      </c>
      <c r="V330" s="15">
        <v>130.62</v>
      </c>
      <c r="W330" s="34">
        <v>113.98</v>
      </c>
    </row>
    <row r="331" spans="19:23" ht="14.25" customHeight="1">
      <c r="S331" s="19"/>
      <c r="T331" s="31" t="s">
        <v>1170</v>
      </c>
      <c r="U331" s="17">
        <v>116.45</v>
      </c>
      <c r="V331" s="15">
        <v>128.29</v>
      </c>
      <c r="W331" s="34">
        <v>122.37</v>
      </c>
    </row>
    <row r="332" spans="19:23" ht="14.25" customHeight="1">
      <c r="S332" s="19"/>
      <c r="T332" s="31" t="s">
        <v>1171</v>
      </c>
      <c r="U332" s="17">
        <v>91.36</v>
      </c>
      <c r="V332" s="15">
        <v>99.36</v>
      </c>
      <c r="W332" s="34">
        <v>95.36</v>
      </c>
    </row>
    <row r="333" spans="19:23" ht="14.25" customHeight="1">
      <c r="S333" s="19"/>
      <c r="T333" s="31" t="s">
        <v>1172</v>
      </c>
      <c r="U333" s="17">
        <v>111.78</v>
      </c>
      <c r="V333" s="15">
        <v>107.5</v>
      </c>
      <c r="W333" s="34">
        <v>109.64</v>
      </c>
    </row>
    <row r="334" spans="19:23" ht="14.25" customHeight="1">
      <c r="S334" s="19"/>
      <c r="T334" s="31" t="s">
        <v>1173</v>
      </c>
      <c r="U334" s="17">
        <v>83.31</v>
      </c>
      <c r="V334" s="15">
        <v>96.54</v>
      </c>
      <c r="W334" s="34">
        <v>89.93</v>
      </c>
    </row>
    <row r="335" spans="19:23" ht="14.25" customHeight="1">
      <c r="S335" s="19"/>
      <c r="T335" s="31" t="s">
        <v>1174</v>
      </c>
      <c r="U335" s="17">
        <v>93.52</v>
      </c>
      <c r="V335" s="15">
        <v>92.15</v>
      </c>
      <c r="W335" s="34">
        <v>92.84</v>
      </c>
    </row>
    <row r="336" spans="19:23" ht="14.25" customHeight="1">
      <c r="S336" s="19"/>
      <c r="T336" s="31" t="s">
        <v>1175</v>
      </c>
      <c r="U336" s="17">
        <v>58.3</v>
      </c>
      <c r="V336" s="15">
        <v>99.93</v>
      </c>
      <c r="W336" s="34">
        <v>79.12</v>
      </c>
    </row>
    <row r="337" spans="19:23" ht="14.25" customHeight="1">
      <c r="S337" s="19"/>
      <c r="T337" s="31" t="s">
        <v>1176</v>
      </c>
      <c r="U337" s="17">
        <v>51.81</v>
      </c>
      <c r="V337" s="15">
        <v>105.17</v>
      </c>
      <c r="W337" s="34">
        <v>78.489999999999995</v>
      </c>
    </row>
    <row r="338" spans="19:23" ht="14.25" customHeight="1">
      <c r="S338" s="19"/>
      <c r="T338" s="31" t="s">
        <v>1177</v>
      </c>
      <c r="U338" s="17">
        <v>114.23</v>
      </c>
      <c r="V338" s="15">
        <v>117.29</v>
      </c>
      <c r="W338" s="34">
        <v>115.76</v>
      </c>
    </row>
    <row r="339" spans="19:23" ht="14.25" customHeight="1">
      <c r="S339" s="19"/>
      <c r="T339" s="31" t="s">
        <v>1178</v>
      </c>
      <c r="U339" s="17">
        <v>94.22</v>
      </c>
      <c r="V339" s="15">
        <v>92.53</v>
      </c>
      <c r="W339" s="34">
        <v>93.38</v>
      </c>
    </row>
    <row r="340" spans="19:23" ht="14.25" customHeight="1">
      <c r="S340" s="19"/>
      <c r="T340" s="31" t="s">
        <v>1179</v>
      </c>
      <c r="U340" s="17">
        <v>78.66</v>
      </c>
      <c r="V340" s="15">
        <v>650.79</v>
      </c>
      <c r="W340" s="34">
        <v>364.73</v>
      </c>
    </row>
    <row r="341" spans="19:23" ht="14.25" customHeight="1">
      <c r="S341" s="19"/>
      <c r="T341" s="31" t="s">
        <v>1180</v>
      </c>
      <c r="U341" s="17">
        <v>76.23</v>
      </c>
      <c r="V341" s="15">
        <v>109.99</v>
      </c>
      <c r="W341" s="34">
        <v>93.11</v>
      </c>
    </row>
    <row r="342" spans="19:23" ht="14.25" customHeight="1">
      <c r="S342" s="19"/>
      <c r="T342" s="31" t="s">
        <v>1181</v>
      </c>
      <c r="U342" s="17">
        <v>46.13</v>
      </c>
      <c r="V342" s="15">
        <v>112.92</v>
      </c>
      <c r="W342" s="34">
        <v>79.53</v>
      </c>
    </row>
    <row r="343" spans="19:23" ht="14.25" customHeight="1">
      <c r="S343" s="19"/>
      <c r="T343" s="31" t="s">
        <v>1182</v>
      </c>
      <c r="U343" s="17">
        <v>51.3</v>
      </c>
      <c r="V343" s="15">
        <v>95.84</v>
      </c>
      <c r="W343" s="34">
        <v>73.569999999999993</v>
      </c>
    </row>
    <row r="344" spans="19:23" ht="14.25" customHeight="1">
      <c r="S344" s="19"/>
      <c r="T344" s="31" t="s">
        <v>1183</v>
      </c>
      <c r="U344" s="17">
        <v>80.92</v>
      </c>
      <c r="V344" s="15">
        <v>100.87</v>
      </c>
      <c r="W344" s="34">
        <v>90.9</v>
      </c>
    </row>
    <row r="345" spans="19:23" ht="14.25" customHeight="1">
      <c r="S345" s="19"/>
      <c r="T345" s="31" t="s">
        <v>1184</v>
      </c>
      <c r="U345" s="17">
        <v>69.540000000000006</v>
      </c>
      <c r="V345" s="15">
        <v>112.55</v>
      </c>
      <c r="W345" s="34">
        <v>91.05</v>
      </c>
    </row>
    <row r="346" spans="19:23" ht="14.25" customHeight="1">
      <c r="S346" s="19"/>
      <c r="T346" s="31" t="s">
        <v>1185</v>
      </c>
      <c r="U346" s="17">
        <v>31.88</v>
      </c>
      <c r="V346" s="15">
        <v>114.87</v>
      </c>
      <c r="W346" s="34">
        <v>73.38</v>
      </c>
    </row>
    <row r="347" spans="19:23" ht="14.25" customHeight="1">
      <c r="S347" s="19"/>
      <c r="T347" s="31" t="s">
        <v>1186</v>
      </c>
      <c r="U347" s="17">
        <v>92.72</v>
      </c>
      <c r="V347" s="15">
        <v>97.95</v>
      </c>
      <c r="W347" s="34">
        <v>95.34</v>
      </c>
    </row>
    <row r="348" spans="19:23" ht="14.25" customHeight="1">
      <c r="S348" s="19"/>
      <c r="T348" s="31" t="s">
        <v>1187</v>
      </c>
      <c r="U348" s="17">
        <v>90.37</v>
      </c>
      <c r="V348" s="15">
        <v>105.51</v>
      </c>
      <c r="W348" s="34">
        <v>97.94</v>
      </c>
    </row>
    <row r="349" spans="19:23" ht="14.25" customHeight="1">
      <c r="S349" s="19"/>
      <c r="T349" s="31" t="s">
        <v>1188</v>
      </c>
      <c r="U349" s="17">
        <v>108.9</v>
      </c>
      <c r="V349" s="15">
        <v>114.87</v>
      </c>
      <c r="W349" s="34">
        <v>111.89</v>
      </c>
    </row>
    <row r="350" spans="19:23" ht="14.25" customHeight="1">
      <c r="S350" s="19"/>
      <c r="T350" s="31" t="s">
        <v>1189</v>
      </c>
      <c r="U350" s="17">
        <v>60.03</v>
      </c>
      <c r="V350" s="15">
        <v>92.04</v>
      </c>
      <c r="W350" s="34">
        <v>76.040000000000006</v>
      </c>
    </row>
    <row r="351" spans="19:23" ht="14.25" customHeight="1">
      <c r="S351" s="19"/>
      <c r="T351" s="31" t="s">
        <v>1190</v>
      </c>
      <c r="U351" s="17">
        <v>46.96</v>
      </c>
      <c r="V351" s="15">
        <v>132.83000000000001</v>
      </c>
      <c r="W351" s="34">
        <v>89.9</v>
      </c>
    </row>
    <row r="352" spans="19:23" ht="14.25" customHeight="1">
      <c r="S352" s="19"/>
      <c r="T352" s="31" t="s">
        <v>1191</v>
      </c>
      <c r="U352" s="17">
        <v>60.74</v>
      </c>
      <c r="V352" s="15">
        <v>107.89</v>
      </c>
      <c r="W352" s="34">
        <v>84.32</v>
      </c>
    </row>
    <row r="353" spans="19:23" ht="14.25" customHeight="1">
      <c r="S353" s="19"/>
      <c r="T353" s="31" t="s">
        <v>1192</v>
      </c>
      <c r="U353" s="17">
        <v>98.98</v>
      </c>
      <c r="V353" s="15">
        <v>88.73</v>
      </c>
      <c r="W353" s="34">
        <v>93.86</v>
      </c>
    </row>
    <row r="354" spans="19:23" ht="14.25" customHeight="1">
      <c r="S354" s="19"/>
      <c r="T354" s="31" t="s">
        <v>1193</v>
      </c>
      <c r="U354" s="17">
        <v>107.27</v>
      </c>
      <c r="V354" s="15">
        <v>105.19</v>
      </c>
      <c r="W354" s="34">
        <v>106.23</v>
      </c>
    </row>
    <row r="355" spans="19:23" ht="14.25" customHeight="1">
      <c r="S355" s="19"/>
      <c r="T355" s="31" t="s">
        <v>1194</v>
      </c>
      <c r="U355" s="17">
        <v>98.42</v>
      </c>
      <c r="V355" s="15">
        <v>107.9</v>
      </c>
      <c r="W355" s="34">
        <v>103.16</v>
      </c>
    </row>
    <row r="356" spans="19:23" ht="14.25" customHeight="1">
      <c r="S356" s="19"/>
      <c r="T356" s="31" t="s">
        <v>1195</v>
      </c>
      <c r="U356" s="17">
        <v>104</v>
      </c>
      <c r="V356" s="15">
        <v>94.99</v>
      </c>
      <c r="W356" s="34">
        <v>99.5</v>
      </c>
    </row>
    <row r="357" spans="19:23" ht="14.25" customHeight="1">
      <c r="S357" s="19"/>
      <c r="T357" s="31" t="s">
        <v>1196</v>
      </c>
      <c r="U357" s="17">
        <v>100.56</v>
      </c>
      <c r="V357" s="15">
        <v>87.28</v>
      </c>
      <c r="W357" s="34">
        <v>93.92</v>
      </c>
    </row>
    <row r="358" spans="19:23" ht="14.25" customHeight="1">
      <c r="S358" s="19"/>
      <c r="T358" s="31" t="s">
        <v>1197</v>
      </c>
      <c r="U358" s="17">
        <v>90.66</v>
      </c>
      <c r="V358" s="15">
        <v>94.05</v>
      </c>
      <c r="W358" s="34">
        <v>92.36</v>
      </c>
    </row>
    <row r="359" spans="19:23" ht="14.25" customHeight="1">
      <c r="S359" s="19"/>
      <c r="T359" s="31" t="s">
        <v>1198</v>
      </c>
      <c r="U359" s="17">
        <v>73.27</v>
      </c>
      <c r="V359" s="15">
        <v>99.46</v>
      </c>
      <c r="W359" s="34">
        <v>86.37</v>
      </c>
    </row>
    <row r="360" spans="19:23" ht="14.25" customHeight="1">
      <c r="S360" s="19"/>
      <c r="T360" s="31" t="s">
        <v>1199</v>
      </c>
      <c r="U360" s="17">
        <v>104.07</v>
      </c>
      <c r="V360" s="15">
        <v>101.25</v>
      </c>
      <c r="W360" s="34">
        <v>102.66</v>
      </c>
    </row>
    <row r="361" spans="19:23" ht="14.25" customHeight="1">
      <c r="S361" s="19"/>
      <c r="T361" s="31" t="s">
        <v>1200</v>
      </c>
      <c r="U361" s="17">
        <v>82.47</v>
      </c>
      <c r="V361" s="15">
        <v>114.15</v>
      </c>
      <c r="W361" s="34">
        <v>98.31</v>
      </c>
    </row>
    <row r="362" spans="19:23" ht="14.25" customHeight="1">
      <c r="S362" s="19"/>
      <c r="T362" s="31" t="s">
        <v>1201</v>
      </c>
      <c r="U362" s="17">
        <v>91.22</v>
      </c>
      <c r="V362" s="15">
        <v>85.03</v>
      </c>
      <c r="W362" s="34">
        <v>88.13</v>
      </c>
    </row>
    <row r="363" spans="19:23" ht="14.25" customHeight="1">
      <c r="S363" s="19"/>
      <c r="T363" s="31" t="s">
        <v>1202</v>
      </c>
      <c r="U363" s="17">
        <v>97.32</v>
      </c>
      <c r="V363" s="15">
        <v>105.38</v>
      </c>
      <c r="W363" s="34">
        <v>101.35</v>
      </c>
    </row>
    <row r="364" spans="19:23" ht="14.25" customHeight="1">
      <c r="S364" s="19"/>
      <c r="T364" s="31" t="s">
        <v>1203</v>
      </c>
      <c r="U364" s="17">
        <v>77.25</v>
      </c>
      <c r="V364" s="15">
        <v>91.31</v>
      </c>
      <c r="W364" s="34">
        <v>84.28</v>
      </c>
    </row>
    <row r="365" spans="19:23" ht="14.25" customHeight="1">
      <c r="S365" s="19"/>
      <c r="T365" s="31" t="s">
        <v>1204</v>
      </c>
      <c r="U365" s="17">
        <v>36.72</v>
      </c>
      <c r="V365" s="15">
        <v>124.25</v>
      </c>
      <c r="W365" s="34">
        <v>80.489999999999995</v>
      </c>
    </row>
    <row r="366" spans="19:23" ht="14.25" customHeight="1">
      <c r="S366" s="19"/>
      <c r="T366" s="31" t="s">
        <v>1205</v>
      </c>
      <c r="U366" s="17">
        <v>82.72</v>
      </c>
      <c r="V366" s="15">
        <v>93.32</v>
      </c>
      <c r="W366" s="34">
        <v>88.02</v>
      </c>
    </row>
    <row r="367" spans="19:23" ht="14.25" customHeight="1">
      <c r="S367" s="19"/>
      <c r="T367" s="31" t="s">
        <v>1206</v>
      </c>
      <c r="U367" s="17">
        <v>90.13</v>
      </c>
      <c r="V367" s="15">
        <v>101.89</v>
      </c>
      <c r="W367" s="34">
        <v>96.01</v>
      </c>
    </row>
    <row r="368" spans="19:23" ht="14.25" customHeight="1">
      <c r="S368" s="19"/>
      <c r="T368" s="31" t="s">
        <v>1207</v>
      </c>
      <c r="U368" s="17">
        <v>113.91</v>
      </c>
      <c r="V368" s="15">
        <v>105.89</v>
      </c>
      <c r="W368" s="34">
        <v>109.9</v>
      </c>
    </row>
    <row r="369" spans="19:23" ht="14.25" customHeight="1">
      <c r="S369" s="19"/>
      <c r="T369" s="31" t="s">
        <v>1208</v>
      </c>
      <c r="U369" s="17">
        <v>95.16</v>
      </c>
      <c r="V369" s="15">
        <v>95.02</v>
      </c>
      <c r="W369" s="34">
        <v>95.09</v>
      </c>
    </row>
    <row r="370" spans="19:23" ht="14.25" customHeight="1">
      <c r="S370" s="19"/>
      <c r="T370" s="31" t="s">
        <v>1209</v>
      </c>
      <c r="U370" s="17">
        <v>89.26</v>
      </c>
      <c r="V370" s="15">
        <v>106.5</v>
      </c>
      <c r="W370" s="34">
        <v>97.88</v>
      </c>
    </row>
    <row r="371" spans="19:23" ht="14.25" customHeight="1">
      <c r="S371" s="19"/>
      <c r="T371" s="31" t="s">
        <v>1210</v>
      </c>
      <c r="U371" s="17">
        <v>82.11</v>
      </c>
      <c r="V371" s="15">
        <v>89.63</v>
      </c>
      <c r="W371" s="34">
        <v>85.87</v>
      </c>
    </row>
    <row r="372" spans="19:23" ht="14.25" customHeight="1">
      <c r="S372" s="19"/>
      <c r="T372" s="31" t="s">
        <v>1211</v>
      </c>
      <c r="U372" s="17">
        <v>94.18</v>
      </c>
      <c r="V372" s="15">
        <v>85.97</v>
      </c>
      <c r="W372" s="34">
        <v>90.08</v>
      </c>
    </row>
    <row r="373" spans="19:23" ht="14.25" customHeight="1">
      <c r="S373" s="19"/>
      <c r="T373" s="31" t="s">
        <v>1212</v>
      </c>
      <c r="U373" s="17">
        <v>54.75</v>
      </c>
      <c r="V373" s="15">
        <v>126.67</v>
      </c>
      <c r="W373" s="34">
        <v>90.71</v>
      </c>
    </row>
    <row r="374" spans="19:23" ht="14.25" customHeight="1">
      <c r="S374" s="19"/>
      <c r="T374" s="31" t="s">
        <v>1213</v>
      </c>
      <c r="U374" s="17">
        <v>84.45</v>
      </c>
      <c r="V374" s="15">
        <v>104.82</v>
      </c>
      <c r="W374" s="34">
        <v>94.64</v>
      </c>
    </row>
    <row r="375" spans="19:23" ht="14.25" customHeight="1">
      <c r="S375" s="19"/>
      <c r="T375" s="31" t="s">
        <v>1214</v>
      </c>
      <c r="U375" s="17">
        <v>98.2</v>
      </c>
      <c r="V375" s="15">
        <v>104.24</v>
      </c>
      <c r="W375" s="34">
        <v>101.22</v>
      </c>
    </row>
    <row r="376" spans="19:23" ht="14.25" customHeight="1">
      <c r="S376" s="19"/>
      <c r="T376" s="31" t="s">
        <v>1215</v>
      </c>
      <c r="U376" s="17">
        <v>100.13</v>
      </c>
      <c r="V376" s="15">
        <v>99.16</v>
      </c>
      <c r="W376" s="34">
        <v>99.65</v>
      </c>
    </row>
    <row r="377" spans="19:23" ht="14.25" customHeight="1">
      <c r="S377" s="19"/>
      <c r="T377" s="31" t="s">
        <v>1216</v>
      </c>
      <c r="U377" s="17">
        <v>87.39</v>
      </c>
      <c r="V377" s="15">
        <v>97.31</v>
      </c>
      <c r="W377" s="34">
        <v>92.35</v>
      </c>
    </row>
    <row r="378" spans="19:23" ht="14.25" customHeight="1">
      <c r="S378" s="19"/>
      <c r="T378" s="31" t="s">
        <v>1217</v>
      </c>
      <c r="U378" s="17">
        <v>90.35</v>
      </c>
      <c r="V378" s="15">
        <v>102.8</v>
      </c>
      <c r="W378" s="34">
        <v>96.58</v>
      </c>
    </row>
    <row r="379" spans="19:23" ht="14.25" customHeight="1">
      <c r="S379" s="19"/>
      <c r="T379" s="31" t="s">
        <v>1218</v>
      </c>
      <c r="U379" s="17">
        <v>95.78</v>
      </c>
      <c r="V379" s="15">
        <v>119.91</v>
      </c>
      <c r="W379" s="34">
        <v>107.85</v>
      </c>
    </row>
    <row r="380" spans="19:23" ht="14.25" customHeight="1">
      <c r="S380" s="19"/>
      <c r="T380" s="31" t="s">
        <v>1219</v>
      </c>
      <c r="U380" s="17">
        <v>71.42</v>
      </c>
      <c r="V380" s="15">
        <v>89.78</v>
      </c>
      <c r="W380" s="34">
        <v>80.599999999999994</v>
      </c>
    </row>
    <row r="381" spans="19:23" ht="14.25" customHeight="1">
      <c r="S381" s="19"/>
      <c r="T381" s="31" t="s">
        <v>1220</v>
      </c>
      <c r="U381" s="17">
        <v>120.86</v>
      </c>
      <c r="V381" s="15">
        <v>100.47</v>
      </c>
      <c r="W381" s="34">
        <v>110.67</v>
      </c>
    </row>
    <row r="382" spans="19:23" ht="14.25" customHeight="1">
      <c r="S382" s="19"/>
      <c r="T382" s="31" t="s">
        <v>1221</v>
      </c>
      <c r="U382" s="17">
        <v>87.12</v>
      </c>
      <c r="V382" s="15">
        <v>98.57</v>
      </c>
      <c r="W382" s="34">
        <v>92.85</v>
      </c>
    </row>
    <row r="383" spans="19:23" ht="14.25" customHeight="1">
      <c r="S383" s="19"/>
      <c r="T383" s="31" t="s">
        <v>1222</v>
      </c>
      <c r="U383" s="17">
        <v>98.08</v>
      </c>
      <c r="V383" s="15">
        <v>97.76</v>
      </c>
      <c r="W383" s="34">
        <v>97.92</v>
      </c>
    </row>
    <row r="384" spans="19:23" ht="14.25" customHeight="1">
      <c r="S384" s="19"/>
      <c r="T384" s="31" t="s">
        <v>1223</v>
      </c>
      <c r="U384" s="17">
        <v>96.19</v>
      </c>
      <c r="V384" s="15">
        <v>90.57</v>
      </c>
      <c r="W384" s="34">
        <v>93.38</v>
      </c>
    </row>
    <row r="385" spans="19:23" ht="14.25" customHeight="1">
      <c r="S385" s="19"/>
      <c r="T385" s="31" t="s">
        <v>1224</v>
      </c>
      <c r="U385" s="17">
        <v>133.18</v>
      </c>
      <c r="V385" s="15">
        <v>117.31</v>
      </c>
      <c r="W385" s="34">
        <v>125.25</v>
      </c>
    </row>
    <row r="386" spans="19:23" ht="14.25" customHeight="1">
      <c r="S386" s="19"/>
      <c r="T386" s="31" t="s">
        <v>1225</v>
      </c>
      <c r="U386" s="17">
        <v>94.99</v>
      </c>
      <c r="V386" s="15">
        <v>107.78</v>
      </c>
      <c r="W386" s="34">
        <v>101.39</v>
      </c>
    </row>
    <row r="387" spans="19:23" ht="14.25" customHeight="1">
      <c r="S387" s="19"/>
      <c r="T387" s="31" t="s">
        <v>1226</v>
      </c>
      <c r="U387" s="17">
        <v>78.92</v>
      </c>
      <c r="V387" s="15">
        <v>118.97</v>
      </c>
      <c r="W387" s="34">
        <v>98.95</v>
      </c>
    </row>
    <row r="388" spans="19:23" ht="14.25" customHeight="1">
      <c r="S388" s="19"/>
      <c r="T388" s="31" t="s">
        <v>1227</v>
      </c>
      <c r="U388" s="17">
        <v>92.83</v>
      </c>
      <c r="V388" s="15">
        <v>93.48</v>
      </c>
      <c r="W388" s="34">
        <v>93.16</v>
      </c>
    </row>
    <row r="389" spans="19:23" ht="14.25" customHeight="1">
      <c r="S389" s="19"/>
      <c r="T389" s="31" t="s">
        <v>1228</v>
      </c>
      <c r="U389" s="17">
        <v>37.58</v>
      </c>
      <c r="V389" s="15">
        <v>103.81</v>
      </c>
      <c r="W389" s="34">
        <v>70.7</v>
      </c>
    </row>
    <row r="390" spans="19:23" ht="14.25" customHeight="1">
      <c r="S390" s="19"/>
      <c r="T390" s="31" t="s">
        <v>1229</v>
      </c>
      <c r="U390" s="17">
        <v>87.24</v>
      </c>
      <c r="V390" s="15">
        <v>82.15</v>
      </c>
      <c r="W390" s="34">
        <v>84.7</v>
      </c>
    </row>
    <row r="391" spans="19:23" ht="14.25" customHeight="1">
      <c r="S391" s="19"/>
      <c r="T391" s="31" t="s">
        <v>1230</v>
      </c>
      <c r="U391" s="17">
        <v>37.5</v>
      </c>
      <c r="V391" s="15">
        <v>105.55</v>
      </c>
      <c r="W391" s="34">
        <v>71.53</v>
      </c>
    </row>
    <row r="392" spans="19:23" ht="14.25" customHeight="1">
      <c r="S392" s="19"/>
      <c r="T392" s="31" t="s">
        <v>1231</v>
      </c>
      <c r="U392" s="17">
        <v>67.12</v>
      </c>
      <c r="V392" s="15">
        <v>104.17</v>
      </c>
      <c r="W392" s="34">
        <v>85.65</v>
      </c>
    </row>
    <row r="393" spans="19:23" ht="14.25" customHeight="1">
      <c r="S393" s="19"/>
      <c r="T393" s="31" t="s">
        <v>1232</v>
      </c>
      <c r="U393" s="17">
        <v>89.64</v>
      </c>
      <c r="V393" s="15">
        <v>91.25</v>
      </c>
      <c r="W393" s="34">
        <v>90.45</v>
      </c>
    </row>
    <row r="394" spans="19:23" ht="14.25" customHeight="1">
      <c r="S394" s="19"/>
      <c r="T394" s="31" t="s">
        <v>1233</v>
      </c>
      <c r="U394" s="17">
        <v>100.12</v>
      </c>
      <c r="V394" s="15">
        <v>100.8</v>
      </c>
      <c r="W394" s="34">
        <v>100.46</v>
      </c>
    </row>
    <row r="395" spans="19:23" ht="14.25" customHeight="1">
      <c r="S395" s="19"/>
      <c r="T395" s="31" t="s">
        <v>1234</v>
      </c>
      <c r="U395" s="17">
        <v>102.97</v>
      </c>
      <c r="V395" s="15">
        <v>87.72</v>
      </c>
      <c r="W395" s="34">
        <v>95.35</v>
      </c>
    </row>
    <row r="396" spans="19:23" ht="14.25" customHeight="1">
      <c r="S396" s="19"/>
      <c r="T396" s="31" t="s">
        <v>1235</v>
      </c>
      <c r="U396" s="17">
        <v>86.47</v>
      </c>
      <c r="V396" s="15">
        <v>78.569999999999993</v>
      </c>
      <c r="W396" s="34">
        <v>82.52</v>
      </c>
    </row>
    <row r="397" spans="19:23" ht="14.25" customHeight="1">
      <c r="S397" s="19"/>
      <c r="T397" s="31" t="s">
        <v>1236</v>
      </c>
      <c r="U397" s="17">
        <v>70.040000000000006</v>
      </c>
      <c r="V397" s="15">
        <v>100.91</v>
      </c>
      <c r="W397" s="34">
        <v>85.48</v>
      </c>
    </row>
    <row r="398" spans="19:23" ht="14.25" customHeight="1">
      <c r="S398" s="19"/>
      <c r="T398" s="31" t="s">
        <v>1237</v>
      </c>
      <c r="U398" s="17">
        <v>103.71</v>
      </c>
      <c r="V398" s="15">
        <v>99.07</v>
      </c>
      <c r="W398" s="34">
        <v>101.39</v>
      </c>
    </row>
    <row r="399" spans="19:23" ht="14.25" customHeight="1">
      <c r="S399" s="19"/>
      <c r="T399" s="31" t="s">
        <v>1238</v>
      </c>
      <c r="U399" s="17">
        <v>128.59</v>
      </c>
      <c r="V399" s="15">
        <v>93.5</v>
      </c>
      <c r="W399" s="34">
        <v>111.05</v>
      </c>
    </row>
    <row r="400" spans="19:23" ht="14.25" customHeight="1">
      <c r="S400" s="19"/>
      <c r="T400" s="31" t="s">
        <v>1239</v>
      </c>
      <c r="U400" s="17">
        <v>70.38</v>
      </c>
      <c r="V400" s="15">
        <v>90.65</v>
      </c>
      <c r="W400" s="34">
        <v>80.52</v>
      </c>
    </row>
    <row r="401" spans="19:23" ht="14.25" customHeight="1">
      <c r="S401" s="19"/>
      <c r="T401" s="31" t="s">
        <v>1240</v>
      </c>
      <c r="U401" s="17">
        <v>109.03</v>
      </c>
      <c r="V401" s="15">
        <v>108.96</v>
      </c>
      <c r="W401" s="34">
        <v>109</v>
      </c>
    </row>
    <row r="402" spans="19:23" ht="14.25" customHeight="1">
      <c r="S402" s="19"/>
      <c r="T402" s="31" t="s">
        <v>1241</v>
      </c>
      <c r="U402" s="17">
        <v>47.01</v>
      </c>
      <c r="V402" s="15">
        <v>113.33</v>
      </c>
      <c r="W402" s="34">
        <v>80.17</v>
      </c>
    </row>
    <row r="403" spans="19:23" ht="14.25" customHeight="1">
      <c r="S403" s="19"/>
      <c r="T403" s="31" t="s">
        <v>1242</v>
      </c>
      <c r="U403" s="17">
        <v>258.42</v>
      </c>
      <c r="V403" s="15">
        <v>103.22</v>
      </c>
      <c r="W403" s="34">
        <v>180.82</v>
      </c>
    </row>
    <row r="404" spans="19:23" ht="14.25" customHeight="1">
      <c r="S404" s="19"/>
      <c r="T404" s="31" t="s">
        <v>1243</v>
      </c>
      <c r="U404" s="17">
        <v>108.19</v>
      </c>
      <c r="V404" s="15">
        <v>112.77</v>
      </c>
      <c r="W404" s="34">
        <v>110.48</v>
      </c>
    </row>
    <row r="405" spans="19:23" ht="14.25" customHeight="1">
      <c r="S405" s="19"/>
      <c r="T405" s="31" t="s">
        <v>1244</v>
      </c>
      <c r="U405" s="17">
        <v>106.88</v>
      </c>
      <c r="V405" s="15">
        <v>95.78</v>
      </c>
      <c r="W405" s="34">
        <v>101.33</v>
      </c>
    </row>
    <row r="406" spans="19:23" ht="14.25" customHeight="1">
      <c r="S406" s="19"/>
      <c r="T406" s="31" t="s">
        <v>1245</v>
      </c>
      <c r="U406" s="17">
        <v>63.2</v>
      </c>
      <c r="V406" s="15">
        <v>105.78</v>
      </c>
      <c r="W406" s="34">
        <v>84.49</v>
      </c>
    </row>
    <row r="407" spans="19:23" ht="14.25" customHeight="1">
      <c r="S407" s="19"/>
      <c r="T407" s="31" t="s">
        <v>1246</v>
      </c>
      <c r="U407" s="17">
        <v>106.35</v>
      </c>
      <c r="V407" s="15">
        <v>106.23</v>
      </c>
      <c r="W407" s="34">
        <v>106.29</v>
      </c>
    </row>
    <row r="408" spans="19:23" ht="14.25" customHeight="1">
      <c r="S408" s="19"/>
      <c r="T408" s="31" t="s">
        <v>1247</v>
      </c>
      <c r="U408" s="17">
        <v>77.5</v>
      </c>
      <c r="V408" s="15">
        <v>103.16</v>
      </c>
      <c r="W408" s="34">
        <v>90.33</v>
      </c>
    </row>
    <row r="409" spans="19:23" ht="14.25" customHeight="1">
      <c r="S409" s="19"/>
      <c r="T409" s="31" t="s">
        <v>1248</v>
      </c>
      <c r="U409" s="17">
        <v>118.44</v>
      </c>
      <c r="V409" s="15">
        <v>106.64</v>
      </c>
      <c r="W409" s="34">
        <v>112.54</v>
      </c>
    </row>
    <row r="410" spans="19:23" ht="14.25" customHeight="1">
      <c r="S410" s="19"/>
      <c r="T410" s="31" t="s">
        <v>1249</v>
      </c>
      <c r="U410" s="17">
        <v>86.96</v>
      </c>
      <c r="V410" s="15">
        <v>95.05</v>
      </c>
      <c r="W410" s="34">
        <v>91.01</v>
      </c>
    </row>
    <row r="411" spans="19:23" ht="14.25" customHeight="1">
      <c r="S411" s="19"/>
      <c r="T411" s="31" t="s">
        <v>1250</v>
      </c>
      <c r="U411" s="17">
        <v>82.77</v>
      </c>
      <c r="V411" s="15">
        <v>113.92</v>
      </c>
      <c r="W411" s="34">
        <v>98.35</v>
      </c>
    </row>
    <row r="412" spans="19:23" ht="14.25" customHeight="1">
      <c r="S412" s="19"/>
      <c r="T412" s="31" t="s">
        <v>1251</v>
      </c>
      <c r="U412" s="17">
        <v>96.75</v>
      </c>
      <c r="V412" s="15">
        <v>86.5</v>
      </c>
      <c r="W412" s="34">
        <v>91.63</v>
      </c>
    </row>
    <row r="413" spans="19:23" ht="14.25" customHeight="1">
      <c r="S413" s="19"/>
      <c r="T413" s="31" t="s">
        <v>1252</v>
      </c>
      <c r="U413" s="17">
        <v>96.78</v>
      </c>
      <c r="V413" s="15">
        <v>94.16</v>
      </c>
      <c r="W413" s="34">
        <v>95.47</v>
      </c>
    </row>
    <row r="414" spans="19:23" ht="14.25" customHeight="1">
      <c r="S414" s="19"/>
      <c r="T414" s="31" t="s">
        <v>1253</v>
      </c>
      <c r="U414" s="17">
        <v>25.42</v>
      </c>
      <c r="V414" s="15">
        <v>121.26</v>
      </c>
      <c r="W414" s="34">
        <v>73.34</v>
      </c>
    </row>
    <row r="415" spans="19:23" ht="14.25" customHeight="1">
      <c r="S415" s="19"/>
      <c r="T415" s="31" t="s">
        <v>1254</v>
      </c>
      <c r="U415" s="17">
        <v>66.89</v>
      </c>
      <c r="V415" s="15">
        <v>106.2</v>
      </c>
      <c r="W415" s="34">
        <v>86.55</v>
      </c>
    </row>
    <row r="416" spans="19:23" ht="14.25" customHeight="1">
      <c r="S416" s="19"/>
      <c r="T416" s="31" t="s">
        <v>1255</v>
      </c>
      <c r="U416" s="17">
        <v>80.12</v>
      </c>
      <c r="V416" s="15">
        <v>97.37</v>
      </c>
      <c r="W416" s="34">
        <v>88.75</v>
      </c>
    </row>
    <row r="417" spans="19:23" ht="14.25" customHeight="1">
      <c r="S417" s="19"/>
      <c r="T417" s="31" t="s">
        <v>1256</v>
      </c>
      <c r="U417" s="17">
        <v>78.59</v>
      </c>
      <c r="V417" s="15">
        <v>104.51</v>
      </c>
      <c r="W417" s="34">
        <v>91.55</v>
      </c>
    </row>
    <row r="418" spans="19:23" ht="14.25" customHeight="1">
      <c r="S418" s="19"/>
      <c r="T418" s="31" t="s">
        <v>1257</v>
      </c>
      <c r="U418" s="17">
        <v>33.17</v>
      </c>
      <c r="V418" s="15">
        <v>115.19</v>
      </c>
      <c r="W418" s="34">
        <v>74.180000000000007</v>
      </c>
    </row>
    <row r="419" spans="19:23" ht="14.25" customHeight="1">
      <c r="S419" s="19"/>
      <c r="T419" s="31" t="s">
        <v>1258</v>
      </c>
      <c r="U419" s="17">
        <v>59.04</v>
      </c>
      <c r="V419" s="15">
        <v>98.42</v>
      </c>
      <c r="W419" s="34">
        <v>78.73</v>
      </c>
    </row>
    <row r="420" spans="19:23" ht="14.25" customHeight="1">
      <c r="S420" s="19"/>
      <c r="T420" s="31" t="s">
        <v>1259</v>
      </c>
      <c r="U420" s="17">
        <v>101.1</v>
      </c>
      <c r="V420" s="15">
        <v>69.11</v>
      </c>
      <c r="W420" s="34">
        <v>85.11</v>
      </c>
    </row>
    <row r="421" spans="19:23" ht="14.25" customHeight="1">
      <c r="S421" s="19"/>
      <c r="T421" s="31" t="s">
        <v>1260</v>
      </c>
      <c r="U421" s="17">
        <v>18.27</v>
      </c>
      <c r="V421" s="15">
        <v>90.6</v>
      </c>
      <c r="W421" s="34">
        <v>54.44</v>
      </c>
    </row>
    <row r="422" spans="19:23" ht="14.25" customHeight="1">
      <c r="S422" s="19"/>
      <c r="T422" s="31" t="s">
        <v>1261</v>
      </c>
      <c r="U422" s="17">
        <v>100.87</v>
      </c>
      <c r="V422" s="15">
        <v>95.4</v>
      </c>
      <c r="W422" s="34">
        <v>98.14</v>
      </c>
    </row>
    <row r="423" spans="19:23" ht="14.25" customHeight="1">
      <c r="S423" s="19"/>
      <c r="T423" s="31" t="s">
        <v>1262</v>
      </c>
      <c r="U423" s="17">
        <v>72.77</v>
      </c>
      <c r="V423" s="15">
        <v>101.06</v>
      </c>
      <c r="W423" s="34">
        <v>86.92</v>
      </c>
    </row>
    <row r="424" spans="19:23" ht="14.25" customHeight="1">
      <c r="S424" s="19"/>
      <c r="T424" s="31" t="s">
        <v>1263</v>
      </c>
      <c r="U424" s="17">
        <v>73.81</v>
      </c>
      <c r="V424" s="15">
        <v>92.34</v>
      </c>
      <c r="W424" s="34">
        <v>83.08</v>
      </c>
    </row>
    <row r="425" spans="19:23" ht="14.25" customHeight="1">
      <c r="S425" s="19"/>
      <c r="T425" s="31" t="s">
        <v>1264</v>
      </c>
      <c r="U425" s="17">
        <v>111.05</v>
      </c>
      <c r="V425" s="15">
        <v>119.92</v>
      </c>
      <c r="W425" s="34">
        <v>115.49</v>
      </c>
    </row>
    <row r="426" spans="19:23" ht="14.25" customHeight="1">
      <c r="S426" s="19"/>
      <c r="T426" s="31" t="s">
        <v>1265</v>
      </c>
      <c r="U426" s="17">
        <v>99.47</v>
      </c>
      <c r="V426" s="15">
        <v>89.09</v>
      </c>
      <c r="W426" s="34">
        <v>94.28</v>
      </c>
    </row>
    <row r="427" spans="19:23" ht="14.25" customHeight="1">
      <c r="S427" s="19"/>
      <c r="T427" s="31" t="s">
        <v>1266</v>
      </c>
      <c r="U427" s="17">
        <v>52.01</v>
      </c>
      <c r="V427" s="15">
        <v>110.01</v>
      </c>
      <c r="W427" s="34">
        <v>81.010000000000005</v>
      </c>
    </row>
    <row r="428" spans="19:23" ht="14.25" customHeight="1">
      <c r="S428" s="19"/>
      <c r="T428" s="31" t="s">
        <v>1267</v>
      </c>
      <c r="U428" s="17">
        <v>96.99</v>
      </c>
      <c r="V428" s="15">
        <v>108.46</v>
      </c>
      <c r="W428" s="34">
        <v>102.73</v>
      </c>
    </row>
    <row r="429" spans="19:23" ht="14.25" customHeight="1">
      <c r="S429" s="19"/>
      <c r="T429" s="31" t="s">
        <v>1268</v>
      </c>
      <c r="U429" s="17">
        <v>107.37</v>
      </c>
      <c r="V429" s="15">
        <v>97.68</v>
      </c>
      <c r="W429" s="34">
        <v>102.53</v>
      </c>
    </row>
    <row r="430" spans="19:23" ht="14.25" customHeight="1">
      <c r="S430" s="19"/>
      <c r="T430" s="31" t="s">
        <v>1269</v>
      </c>
      <c r="U430" s="17">
        <v>102.78</v>
      </c>
      <c r="V430" s="15">
        <v>109.61</v>
      </c>
      <c r="W430" s="34">
        <v>106.2</v>
      </c>
    </row>
    <row r="431" spans="19:23" ht="14.25" customHeight="1">
      <c r="S431" s="19"/>
      <c r="T431" s="31" t="s">
        <v>1270</v>
      </c>
      <c r="U431" s="17">
        <v>77.06</v>
      </c>
      <c r="V431" s="15">
        <v>90.83</v>
      </c>
      <c r="W431" s="34">
        <v>83.95</v>
      </c>
    </row>
    <row r="432" spans="19:23" ht="14.25" customHeight="1">
      <c r="S432" s="19"/>
      <c r="T432" s="31" t="s">
        <v>1271</v>
      </c>
      <c r="U432" s="17">
        <v>84.97</v>
      </c>
      <c r="V432" s="15">
        <v>73.53</v>
      </c>
      <c r="W432" s="34">
        <v>79.25</v>
      </c>
    </row>
    <row r="433" spans="19:23" ht="14.25" customHeight="1">
      <c r="S433" s="19"/>
      <c r="T433" s="31" t="s">
        <v>1272</v>
      </c>
      <c r="U433" s="17">
        <v>105.14</v>
      </c>
      <c r="V433" s="15">
        <v>101.55</v>
      </c>
      <c r="W433" s="34">
        <v>103.35</v>
      </c>
    </row>
    <row r="434" spans="19:23" ht="14.25" customHeight="1">
      <c r="S434" s="19"/>
      <c r="T434" s="31" t="s">
        <v>1273</v>
      </c>
      <c r="U434" s="17">
        <v>95.17</v>
      </c>
      <c r="V434" s="15">
        <v>110.11</v>
      </c>
      <c r="W434" s="34">
        <v>102.64</v>
      </c>
    </row>
    <row r="435" spans="19:23" ht="14.25" customHeight="1">
      <c r="S435" s="19"/>
      <c r="T435" s="31" t="s">
        <v>1274</v>
      </c>
      <c r="U435" s="17">
        <v>100.96</v>
      </c>
      <c r="V435" s="15">
        <v>124.85</v>
      </c>
      <c r="W435" s="34">
        <v>112.91</v>
      </c>
    </row>
    <row r="436" spans="19:23" ht="14.25" customHeight="1">
      <c r="S436" s="19"/>
      <c r="T436" s="31" t="s">
        <v>1275</v>
      </c>
      <c r="U436" s="17">
        <v>64.209999999999994</v>
      </c>
      <c r="V436" s="15">
        <v>99.96</v>
      </c>
      <c r="W436" s="34">
        <v>82.09</v>
      </c>
    </row>
    <row r="437" spans="19:23" ht="14.25" customHeight="1">
      <c r="S437" s="19"/>
      <c r="T437" s="31" t="s">
        <v>1276</v>
      </c>
      <c r="U437" s="17">
        <v>105.66</v>
      </c>
      <c r="V437" s="15">
        <v>78.790000000000006</v>
      </c>
      <c r="W437" s="34">
        <v>92.23</v>
      </c>
    </row>
    <row r="438" spans="19:23" ht="14.25" customHeight="1">
      <c r="S438" s="19"/>
      <c r="T438" s="31" t="s">
        <v>1277</v>
      </c>
      <c r="U438" s="17">
        <v>79.930000000000007</v>
      </c>
      <c r="V438" s="15">
        <v>117.42</v>
      </c>
      <c r="W438" s="34">
        <v>98.68</v>
      </c>
    </row>
    <row r="439" spans="19:23" ht="14.25" customHeight="1">
      <c r="S439" s="19"/>
      <c r="T439" s="31" t="s">
        <v>1278</v>
      </c>
      <c r="U439" s="17">
        <v>79.22</v>
      </c>
      <c r="V439" s="15">
        <v>111.25</v>
      </c>
      <c r="W439" s="34">
        <v>95.24</v>
      </c>
    </row>
    <row r="440" spans="19:23" ht="14.25" customHeight="1">
      <c r="S440" s="19"/>
      <c r="T440" s="31" t="s">
        <v>1279</v>
      </c>
      <c r="U440" s="17">
        <v>96.06</v>
      </c>
      <c r="V440" s="15">
        <v>77.510000000000005</v>
      </c>
      <c r="W440" s="34">
        <v>86.79</v>
      </c>
    </row>
    <row r="441" spans="19:23" ht="14.25" customHeight="1">
      <c r="S441" s="19"/>
      <c r="T441" s="31" t="s">
        <v>1280</v>
      </c>
      <c r="U441" s="17">
        <v>95.25</v>
      </c>
      <c r="V441" s="15">
        <v>85.08</v>
      </c>
      <c r="W441" s="34">
        <v>90.17</v>
      </c>
    </row>
    <row r="442" spans="19:23" ht="14.25" customHeight="1">
      <c r="S442" s="19"/>
      <c r="T442" s="31" t="s">
        <v>1281</v>
      </c>
      <c r="U442" s="17">
        <v>57.73</v>
      </c>
      <c r="V442" s="15">
        <v>86.65</v>
      </c>
      <c r="W442" s="34">
        <v>72.19</v>
      </c>
    </row>
    <row r="443" spans="19:23" ht="14.25" customHeight="1">
      <c r="S443" s="19"/>
      <c r="T443" s="31" t="s">
        <v>1282</v>
      </c>
      <c r="U443" s="17">
        <v>106.03</v>
      </c>
      <c r="V443" s="15">
        <v>109.36</v>
      </c>
      <c r="W443" s="34">
        <v>107.7</v>
      </c>
    </row>
    <row r="444" spans="19:23" ht="14.25" customHeight="1">
      <c r="S444" s="19"/>
      <c r="T444" s="31" t="s">
        <v>1283</v>
      </c>
      <c r="U444" s="17">
        <v>46.67</v>
      </c>
      <c r="V444" s="15">
        <v>99.74</v>
      </c>
      <c r="W444" s="34">
        <v>73.209999999999994</v>
      </c>
    </row>
    <row r="445" spans="19:23" ht="14.25" customHeight="1">
      <c r="S445" s="19"/>
      <c r="T445" s="31" t="s">
        <v>1284</v>
      </c>
      <c r="U445" s="17">
        <v>83.66</v>
      </c>
      <c r="V445" s="15">
        <v>100.3</v>
      </c>
      <c r="W445" s="34">
        <v>91.98</v>
      </c>
    </row>
    <row r="446" spans="19:23" ht="14.25" customHeight="1">
      <c r="S446" s="19"/>
      <c r="T446" s="31" t="s">
        <v>1285</v>
      </c>
      <c r="U446" s="17">
        <v>60.34</v>
      </c>
      <c r="V446" s="15">
        <v>99.54</v>
      </c>
      <c r="W446" s="34">
        <v>79.94</v>
      </c>
    </row>
    <row r="447" spans="19:23" ht="14.25" customHeight="1">
      <c r="S447" s="19"/>
      <c r="T447" s="31" t="s">
        <v>1286</v>
      </c>
      <c r="U447" s="17">
        <v>73.010000000000005</v>
      </c>
      <c r="V447" s="15">
        <v>120.88</v>
      </c>
      <c r="W447" s="34">
        <v>96.95</v>
      </c>
    </row>
    <row r="448" spans="19:23" ht="14.25" customHeight="1">
      <c r="S448" s="19"/>
      <c r="T448" s="31" t="s">
        <v>1287</v>
      </c>
      <c r="U448" s="17">
        <v>99.59</v>
      </c>
      <c r="V448" s="15">
        <v>106.18</v>
      </c>
      <c r="W448" s="34">
        <v>102.89</v>
      </c>
    </row>
    <row r="449" spans="19:23" ht="14.25" customHeight="1">
      <c r="S449" s="19"/>
      <c r="T449" s="31" t="s">
        <v>1288</v>
      </c>
      <c r="U449" s="17">
        <v>96.98</v>
      </c>
      <c r="V449" s="15">
        <v>104.44</v>
      </c>
      <c r="W449" s="34">
        <v>100.71</v>
      </c>
    </row>
    <row r="450" spans="19:23" ht="14.25" customHeight="1">
      <c r="S450" s="19"/>
      <c r="T450" s="31" t="s">
        <v>1289</v>
      </c>
      <c r="U450" s="17">
        <v>104.08</v>
      </c>
      <c r="V450" s="15">
        <v>93.65</v>
      </c>
      <c r="W450" s="34">
        <v>98.87</v>
      </c>
    </row>
    <row r="451" spans="19:23" ht="14.25" customHeight="1">
      <c r="S451" s="19"/>
      <c r="T451" s="31" t="s">
        <v>1290</v>
      </c>
      <c r="U451" s="17">
        <v>85.11</v>
      </c>
      <c r="V451" s="15">
        <v>95.68</v>
      </c>
      <c r="W451" s="34">
        <v>90.4</v>
      </c>
    </row>
    <row r="452" spans="19:23" ht="14.25" customHeight="1">
      <c r="S452" s="19"/>
      <c r="T452" s="31" t="s">
        <v>1291</v>
      </c>
      <c r="U452" s="17">
        <v>130.65</v>
      </c>
      <c r="V452" s="15">
        <v>100.62</v>
      </c>
      <c r="W452" s="34">
        <v>115.64</v>
      </c>
    </row>
    <row r="453" spans="19:23" ht="14.25" customHeight="1">
      <c r="S453" s="19"/>
      <c r="T453" s="31" t="s">
        <v>1292</v>
      </c>
      <c r="U453" s="17">
        <v>81.56</v>
      </c>
      <c r="V453" s="15">
        <v>108.87</v>
      </c>
      <c r="W453" s="34">
        <v>95.22</v>
      </c>
    </row>
    <row r="454" spans="19:23" ht="14.25" customHeight="1">
      <c r="S454" s="19"/>
      <c r="T454" s="31" t="s">
        <v>1293</v>
      </c>
      <c r="U454" s="17">
        <v>137.04</v>
      </c>
      <c r="V454" s="15">
        <v>92.57</v>
      </c>
      <c r="W454" s="34">
        <v>114.81</v>
      </c>
    </row>
    <row r="455" spans="19:23" ht="14.25" customHeight="1">
      <c r="S455" s="19"/>
      <c r="T455" s="31" t="s">
        <v>1294</v>
      </c>
      <c r="U455" s="17">
        <v>116.5</v>
      </c>
      <c r="V455" s="15">
        <v>84.43</v>
      </c>
      <c r="W455" s="34">
        <v>100.47</v>
      </c>
    </row>
    <row r="456" spans="19:23" ht="14.25" customHeight="1">
      <c r="S456" s="19"/>
      <c r="T456" s="31" t="s">
        <v>1295</v>
      </c>
      <c r="U456" s="17">
        <v>68.14</v>
      </c>
      <c r="V456" s="15">
        <v>90.26</v>
      </c>
      <c r="W456" s="34">
        <v>79.2</v>
      </c>
    </row>
    <row r="457" spans="19:23" ht="14.25" customHeight="1">
      <c r="S457" s="19"/>
      <c r="T457" s="31" t="s">
        <v>1296</v>
      </c>
      <c r="U457" s="17">
        <v>100.07</v>
      </c>
      <c r="V457" s="15">
        <v>103.44</v>
      </c>
      <c r="W457" s="34">
        <v>101.76</v>
      </c>
    </row>
    <row r="458" spans="19:23" ht="14.25" customHeight="1">
      <c r="S458" s="19"/>
      <c r="T458" s="31" t="s">
        <v>1297</v>
      </c>
      <c r="U458" s="17">
        <v>62.85</v>
      </c>
      <c r="V458" s="15">
        <v>108.25</v>
      </c>
      <c r="W458" s="34">
        <v>85.55</v>
      </c>
    </row>
    <row r="459" spans="19:23" ht="14.25" customHeight="1">
      <c r="S459" s="19"/>
      <c r="T459" s="31" t="s">
        <v>1298</v>
      </c>
      <c r="U459" s="17">
        <v>89.68</v>
      </c>
      <c r="V459" s="15">
        <v>99.67</v>
      </c>
      <c r="W459" s="34">
        <v>94.68</v>
      </c>
    </row>
    <row r="460" spans="19:23" ht="14.25" customHeight="1">
      <c r="S460" s="19"/>
      <c r="T460" s="31" t="s">
        <v>1299</v>
      </c>
      <c r="U460" s="17">
        <v>102.64</v>
      </c>
      <c r="V460" s="15">
        <v>118.24</v>
      </c>
      <c r="W460" s="34">
        <v>110.44</v>
      </c>
    </row>
    <row r="461" spans="19:23" ht="14.25" customHeight="1">
      <c r="S461" s="19"/>
      <c r="T461" s="31" t="s">
        <v>1300</v>
      </c>
      <c r="U461" s="17">
        <v>97.42</v>
      </c>
      <c r="V461" s="15">
        <v>91.7</v>
      </c>
      <c r="W461" s="34">
        <v>94.56</v>
      </c>
    </row>
    <row r="462" spans="19:23" ht="14.25" customHeight="1">
      <c r="S462" s="19"/>
      <c r="T462" s="31" t="s">
        <v>1301</v>
      </c>
      <c r="U462" s="17">
        <v>45.1</v>
      </c>
      <c r="V462" s="15">
        <v>106.56</v>
      </c>
      <c r="W462" s="34">
        <v>75.83</v>
      </c>
    </row>
    <row r="463" spans="19:23" ht="14.25" customHeight="1">
      <c r="S463" s="19"/>
      <c r="T463" s="31" t="s">
        <v>1302</v>
      </c>
      <c r="U463" s="17">
        <v>56.1</v>
      </c>
      <c r="V463" s="15">
        <v>77.87</v>
      </c>
      <c r="W463" s="34">
        <v>66.989999999999995</v>
      </c>
    </row>
    <row r="464" spans="19:23" ht="14.25" customHeight="1">
      <c r="S464" s="19"/>
      <c r="T464" s="31" t="s">
        <v>1303</v>
      </c>
      <c r="U464" s="17">
        <v>68.05</v>
      </c>
      <c r="V464" s="15">
        <v>86.77</v>
      </c>
      <c r="W464" s="34">
        <v>77.41</v>
      </c>
    </row>
    <row r="465" spans="19:23" ht="14.25" customHeight="1">
      <c r="S465" s="19"/>
      <c r="T465" s="31" t="s">
        <v>1304</v>
      </c>
      <c r="U465" s="17">
        <v>113.41</v>
      </c>
      <c r="V465" s="15">
        <v>103.32</v>
      </c>
      <c r="W465" s="34">
        <v>108.37</v>
      </c>
    </row>
    <row r="466" spans="19:23" ht="14.25" customHeight="1">
      <c r="S466" s="19"/>
      <c r="T466" s="31" t="s">
        <v>1305</v>
      </c>
      <c r="U466" s="17">
        <v>94.15</v>
      </c>
      <c r="V466" s="15">
        <v>373.74</v>
      </c>
      <c r="W466" s="34">
        <v>233.95</v>
      </c>
    </row>
    <row r="467" spans="19:23" ht="14.25" customHeight="1">
      <c r="S467" s="19"/>
      <c r="T467" s="31" t="s">
        <v>1306</v>
      </c>
      <c r="U467" s="17">
        <v>63.94</v>
      </c>
      <c r="V467" s="15">
        <v>112.03</v>
      </c>
      <c r="W467" s="34">
        <v>87.99</v>
      </c>
    </row>
    <row r="468" spans="19:23" ht="14.25" customHeight="1">
      <c r="S468" s="19"/>
      <c r="T468" s="31" t="s">
        <v>1307</v>
      </c>
      <c r="U468" s="17">
        <v>56.44</v>
      </c>
      <c r="V468" s="15">
        <v>104.1</v>
      </c>
      <c r="W468" s="34">
        <v>80.27</v>
      </c>
    </row>
    <row r="469" spans="19:23" ht="14.25" customHeight="1">
      <c r="S469" s="19"/>
      <c r="T469" s="31" t="s">
        <v>1308</v>
      </c>
      <c r="U469" s="17">
        <v>110.19</v>
      </c>
      <c r="V469" s="15">
        <v>121.12</v>
      </c>
      <c r="W469" s="34">
        <v>115.66</v>
      </c>
    </row>
    <row r="470" spans="19:23" ht="14.25" customHeight="1">
      <c r="S470" s="19"/>
      <c r="T470" s="31" t="s">
        <v>1309</v>
      </c>
      <c r="U470" s="17">
        <v>73.989999999999995</v>
      </c>
      <c r="V470" s="15">
        <v>132.97</v>
      </c>
      <c r="W470" s="34">
        <v>103.48</v>
      </c>
    </row>
    <row r="471" spans="19:23" ht="14.25" customHeight="1">
      <c r="S471" s="19"/>
      <c r="T471" s="31" t="s">
        <v>1310</v>
      </c>
      <c r="U471" s="17">
        <v>58</v>
      </c>
      <c r="V471" s="15">
        <v>103.28</v>
      </c>
      <c r="W471" s="34">
        <v>80.64</v>
      </c>
    </row>
    <row r="472" spans="19:23" ht="14.25" customHeight="1">
      <c r="S472" s="19"/>
      <c r="T472" s="31" t="s">
        <v>1311</v>
      </c>
      <c r="U472" s="35"/>
      <c r="V472" s="15">
        <v>122.03</v>
      </c>
      <c r="W472" s="34">
        <v>61.02</v>
      </c>
    </row>
    <row r="473" spans="19:23" ht="14.25" customHeight="1">
      <c r="S473" s="19"/>
      <c r="T473" s="31" t="s">
        <v>1312</v>
      </c>
      <c r="U473" s="17">
        <v>52.86</v>
      </c>
      <c r="V473" s="15">
        <v>92.72</v>
      </c>
      <c r="W473" s="34">
        <v>72.790000000000006</v>
      </c>
    </row>
    <row r="474" spans="19:23" ht="14.25" customHeight="1">
      <c r="S474" s="19"/>
      <c r="T474" s="31" t="s">
        <v>1313</v>
      </c>
      <c r="U474" s="17">
        <v>85.5</v>
      </c>
      <c r="V474" s="15">
        <v>98.58</v>
      </c>
      <c r="W474" s="34">
        <v>92.04</v>
      </c>
    </row>
    <row r="475" spans="19:23" ht="14.25" customHeight="1">
      <c r="S475" s="19"/>
      <c r="T475" s="31" t="s">
        <v>1314</v>
      </c>
      <c r="U475" s="17">
        <v>71.55</v>
      </c>
      <c r="V475" s="15">
        <v>91.72</v>
      </c>
      <c r="W475" s="34">
        <v>81.64</v>
      </c>
    </row>
    <row r="476" spans="19:23" ht="14.25" customHeight="1">
      <c r="S476" s="19"/>
      <c r="T476" s="31" t="s">
        <v>1315</v>
      </c>
      <c r="U476" s="17">
        <v>81.98</v>
      </c>
      <c r="V476" s="15">
        <v>100.99</v>
      </c>
      <c r="W476" s="34">
        <v>91.49</v>
      </c>
    </row>
    <row r="477" spans="19:23" ht="14.25" customHeight="1">
      <c r="S477" s="19"/>
      <c r="T477" s="31" t="s">
        <v>1316</v>
      </c>
      <c r="U477" s="17">
        <v>76.52</v>
      </c>
      <c r="V477" s="15">
        <v>83.71</v>
      </c>
      <c r="W477" s="34">
        <v>80.12</v>
      </c>
    </row>
    <row r="478" spans="19:23" ht="14.25" customHeight="1">
      <c r="S478" s="19"/>
      <c r="T478" s="31" t="s">
        <v>1317</v>
      </c>
      <c r="U478" s="17">
        <v>107.1</v>
      </c>
      <c r="V478" s="15">
        <v>109.37</v>
      </c>
      <c r="W478" s="34">
        <v>108.24</v>
      </c>
    </row>
    <row r="479" spans="19:23" ht="14.25" customHeight="1">
      <c r="S479" s="19"/>
      <c r="T479" s="31" t="s">
        <v>1318</v>
      </c>
      <c r="U479" s="17">
        <v>67.08</v>
      </c>
      <c r="V479" s="15">
        <v>117.74</v>
      </c>
      <c r="W479" s="34">
        <v>92.41</v>
      </c>
    </row>
    <row r="480" spans="19:23" ht="14.25" customHeight="1">
      <c r="S480" s="19"/>
      <c r="T480" s="31" t="s">
        <v>1319</v>
      </c>
      <c r="U480" s="17">
        <v>107.25</v>
      </c>
      <c r="V480" s="15">
        <v>104.89</v>
      </c>
      <c r="W480" s="34">
        <v>106.07</v>
      </c>
    </row>
    <row r="481" spans="19:23" ht="14.25" customHeight="1">
      <c r="S481" s="19"/>
      <c r="T481" s="31" t="s">
        <v>1320</v>
      </c>
      <c r="U481" s="17">
        <v>91.71</v>
      </c>
      <c r="V481" s="15">
        <v>111.49</v>
      </c>
      <c r="W481" s="34">
        <v>101.6</v>
      </c>
    </row>
    <row r="482" spans="19:23" ht="14.25" customHeight="1">
      <c r="S482" s="19"/>
      <c r="T482" s="31" t="s">
        <v>1321</v>
      </c>
      <c r="U482" s="17">
        <v>86.11</v>
      </c>
      <c r="V482" s="15">
        <v>96.88</v>
      </c>
      <c r="W482" s="34">
        <v>91.5</v>
      </c>
    </row>
    <row r="483" spans="19:23" ht="14.25" customHeight="1">
      <c r="S483" s="19"/>
      <c r="T483" s="31" t="s">
        <v>801</v>
      </c>
      <c r="U483" s="17">
        <v>104.2</v>
      </c>
      <c r="V483" s="15">
        <v>99.03</v>
      </c>
      <c r="W483" s="34">
        <v>101.62</v>
      </c>
    </row>
    <row r="484" spans="19:23" ht="14.25" customHeight="1">
      <c r="S484" s="19"/>
      <c r="T484" s="31" t="s">
        <v>1322</v>
      </c>
      <c r="U484" s="17">
        <v>86.64</v>
      </c>
      <c r="V484" s="15">
        <v>101.24</v>
      </c>
      <c r="W484" s="34">
        <v>93.94</v>
      </c>
    </row>
    <row r="485" spans="19:23" ht="14.25" customHeight="1">
      <c r="S485" s="19"/>
      <c r="T485" s="31" t="s">
        <v>1323</v>
      </c>
      <c r="U485" s="17">
        <v>91.13</v>
      </c>
      <c r="V485" s="15">
        <v>104.19</v>
      </c>
      <c r="W485" s="34">
        <v>97.66</v>
      </c>
    </row>
    <row r="486" spans="19:23" ht="14.25" customHeight="1">
      <c r="S486" s="19"/>
      <c r="T486" s="31" t="s">
        <v>1324</v>
      </c>
      <c r="U486" s="17">
        <v>50.23</v>
      </c>
      <c r="V486" s="15">
        <v>98.61</v>
      </c>
      <c r="W486" s="34">
        <v>74.42</v>
      </c>
    </row>
    <row r="487" spans="19:23" ht="14.25" customHeight="1">
      <c r="S487" s="19"/>
      <c r="T487" s="31" t="s">
        <v>1325</v>
      </c>
      <c r="U487" s="17">
        <v>77.36</v>
      </c>
      <c r="V487" s="15">
        <v>91.49</v>
      </c>
      <c r="W487" s="34">
        <v>84.43</v>
      </c>
    </row>
    <row r="488" spans="19:23" ht="14.25" customHeight="1">
      <c r="S488" s="19"/>
      <c r="T488" s="31" t="s">
        <v>1326</v>
      </c>
      <c r="U488" s="17">
        <v>119.54</v>
      </c>
      <c r="V488" s="15">
        <v>96.14</v>
      </c>
      <c r="W488" s="34">
        <v>107.84</v>
      </c>
    </row>
    <row r="489" spans="19:23" ht="14.25" customHeight="1">
      <c r="S489" s="19"/>
      <c r="T489" s="31" t="s">
        <v>1327</v>
      </c>
      <c r="U489" s="17">
        <v>54.51</v>
      </c>
      <c r="V489" s="15">
        <v>105.18</v>
      </c>
      <c r="W489" s="34">
        <v>79.849999999999994</v>
      </c>
    </row>
    <row r="490" spans="19:23" ht="14.25" customHeight="1">
      <c r="S490" s="19"/>
      <c r="T490" s="31" t="s">
        <v>1328</v>
      </c>
      <c r="U490" s="17">
        <v>99.76</v>
      </c>
      <c r="V490" s="15">
        <v>105.73</v>
      </c>
      <c r="W490" s="34">
        <v>102.75</v>
      </c>
    </row>
    <row r="491" spans="19:23" ht="14.25" customHeight="1">
      <c r="S491" s="19"/>
      <c r="T491" s="31" t="s">
        <v>1329</v>
      </c>
      <c r="U491" s="17">
        <v>119.68</v>
      </c>
      <c r="V491" s="15">
        <v>117</v>
      </c>
      <c r="W491" s="34">
        <v>118.34</v>
      </c>
    </row>
    <row r="492" spans="19:23" ht="14.25" customHeight="1">
      <c r="S492" s="19"/>
      <c r="T492" s="31" t="s">
        <v>1330</v>
      </c>
      <c r="U492" s="17">
        <v>82.94</v>
      </c>
      <c r="V492" s="15">
        <v>451.39</v>
      </c>
      <c r="W492" s="34">
        <v>267.17</v>
      </c>
    </row>
    <row r="493" spans="19:23" ht="14.25" customHeight="1">
      <c r="S493" s="19"/>
      <c r="T493" s="31" t="s">
        <v>1331</v>
      </c>
      <c r="U493" s="17">
        <v>119.04</v>
      </c>
      <c r="V493" s="15">
        <v>89.81</v>
      </c>
      <c r="W493" s="34">
        <v>104.43</v>
      </c>
    </row>
    <row r="494" spans="19:23" ht="14.25" customHeight="1">
      <c r="S494" s="19"/>
      <c r="T494" s="31" t="s">
        <v>1332</v>
      </c>
      <c r="U494" s="17">
        <v>113.06</v>
      </c>
      <c r="V494" s="15">
        <v>104</v>
      </c>
      <c r="W494" s="34">
        <v>108.53</v>
      </c>
    </row>
    <row r="495" spans="19:23" ht="14.25" customHeight="1">
      <c r="S495" s="19"/>
      <c r="T495" s="31" t="s">
        <v>1333</v>
      </c>
      <c r="U495" s="17">
        <v>87.61</v>
      </c>
      <c r="V495" s="15">
        <v>92.43</v>
      </c>
      <c r="W495" s="34">
        <v>90.02</v>
      </c>
    </row>
    <row r="496" spans="19:23" ht="14.25" customHeight="1">
      <c r="S496" s="19"/>
      <c r="T496" s="31" t="s">
        <v>1334</v>
      </c>
      <c r="U496" s="17">
        <v>106.62</v>
      </c>
      <c r="V496" s="15">
        <v>91.74</v>
      </c>
      <c r="W496" s="34">
        <v>99.18</v>
      </c>
    </row>
    <row r="497" spans="19:23" ht="14.25" customHeight="1">
      <c r="S497" s="19"/>
      <c r="T497" s="31" t="s">
        <v>1335</v>
      </c>
      <c r="U497" s="17">
        <v>108.62</v>
      </c>
      <c r="V497" s="15">
        <v>108.04</v>
      </c>
      <c r="W497" s="34">
        <v>108.33</v>
      </c>
    </row>
    <row r="498" spans="19:23" ht="14.25" customHeight="1">
      <c r="S498" s="19"/>
      <c r="T498" s="31" t="s">
        <v>1336</v>
      </c>
      <c r="U498" s="17">
        <v>116.11</v>
      </c>
      <c r="V498" s="15">
        <v>99.64</v>
      </c>
      <c r="W498" s="34">
        <v>107.88</v>
      </c>
    </row>
    <row r="499" spans="19:23" ht="14.25" customHeight="1">
      <c r="S499" s="19"/>
      <c r="T499" s="31" t="s">
        <v>1337</v>
      </c>
      <c r="U499" s="17">
        <v>121.38</v>
      </c>
      <c r="V499" s="15">
        <v>98.43</v>
      </c>
      <c r="W499" s="34">
        <v>109.91</v>
      </c>
    </row>
    <row r="500" spans="19:23" ht="14.25" customHeight="1">
      <c r="S500" s="19"/>
      <c r="T500" s="31" t="s">
        <v>1338</v>
      </c>
      <c r="U500" s="17">
        <v>76.709999999999994</v>
      </c>
      <c r="V500" s="15">
        <v>98.64</v>
      </c>
      <c r="W500" s="34">
        <v>87.68</v>
      </c>
    </row>
    <row r="501" spans="19:23" ht="14.25" customHeight="1">
      <c r="S501" s="19"/>
      <c r="T501" s="31" t="s">
        <v>1339</v>
      </c>
      <c r="U501" s="17">
        <v>97.8</v>
      </c>
      <c r="V501" s="15">
        <v>114.72</v>
      </c>
      <c r="W501" s="34">
        <v>106.26</v>
      </c>
    </row>
    <row r="502" spans="19:23" ht="14.25" customHeight="1">
      <c r="S502" s="19"/>
      <c r="T502" s="31" t="s">
        <v>1340</v>
      </c>
      <c r="U502" s="17">
        <v>107.24</v>
      </c>
      <c r="V502" s="15">
        <v>90.32</v>
      </c>
      <c r="W502" s="34">
        <v>98.78</v>
      </c>
    </row>
    <row r="503" spans="19:23" ht="14.25" customHeight="1">
      <c r="S503" s="19"/>
      <c r="T503" s="31" t="s">
        <v>1341</v>
      </c>
      <c r="U503" s="17">
        <v>62.89</v>
      </c>
      <c r="V503" s="15">
        <v>102.82</v>
      </c>
      <c r="W503" s="34">
        <v>82.86</v>
      </c>
    </row>
    <row r="504" spans="19:23" ht="14.25" customHeight="1">
      <c r="S504" s="19"/>
      <c r="T504" s="31" t="s">
        <v>1342</v>
      </c>
      <c r="U504" s="17">
        <v>107.44</v>
      </c>
      <c r="V504" s="15">
        <v>461.33</v>
      </c>
      <c r="W504" s="34">
        <v>284.39</v>
      </c>
    </row>
    <row r="505" spans="19:23" ht="14.25" customHeight="1">
      <c r="S505" s="19"/>
      <c r="T505" s="31" t="s">
        <v>1343</v>
      </c>
      <c r="U505" s="17">
        <v>103.5</v>
      </c>
      <c r="V505" s="15">
        <v>132.74</v>
      </c>
      <c r="W505" s="34">
        <v>118.12</v>
      </c>
    </row>
    <row r="506" spans="19:23" ht="14.25" customHeight="1">
      <c r="S506" s="19"/>
      <c r="T506" s="31" t="s">
        <v>1344</v>
      </c>
      <c r="U506" s="17">
        <v>76.209999999999994</v>
      </c>
      <c r="V506" s="15">
        <v>130.93</v>
      </c>
      <c r="W506" s="34">
        <v>103.57</v>
      </c>
    </row>
    <row r="507" spans="19:23" ht="14.25" customHeight="1">
      <c r="S507" s="19"/>
      <c r="T507" s="31" t="s">
        <v>1345</v>
      </c>
      <c r="U507" s="17">
        <v>126.21</v>
      </c>
      <c r="V507" s="15">
        <v>127.37</v>
      </c>
      <c r="W507" s="34">
        <v>126.79</v>
      </c>
    </row>
    <row r="508" spans="19:23" ht="14.25" customHeight="1">
      <c r="S508" s="19"/>
      <c r="T508" s="31" t="s">
        <v>1346</v>
      </c>
      <c r="U508" s="17">
        <v>99.81</v>
      </c>
      <c r="V508" s="15">
        <v>98.34</v>
      </c>
      <c r="W508" s="34">
        <v>99.08</v>
      </c>
    </row>
    <row r="509" spans="19:23" ht="14.25" customHeight="1">
      <c r="S509" s="19"/>
      <c r="T509" s="31" t="s">
        <v>1347</v>
      </c>
      <c r="U509" s="17">
        <v>92.82</v>
      </c>
      <c r="V509" s="15">
        <v>92.79</v>
      </c>
      <c r="W509" s="34">
        <v>92.81</v>
      </c>
    </row>
    <row r="510" spans="19:23" ht="14.25" customHeight="1">
      <c r="S510" s="19"/>
      <c r="T510" s="31" t="s">
        <v>1348</v>
      </c>
      <c r="U510" s="17">
        <v>98.94</v>
      </c>
      <c r="V510" s="15">
        <v>96.53</v>
      </c>
      <c r="W510" s="34">
        <v>97.74</v>
      </c>
    </row>
    <row r="511" spans="19:23" ht="14.25" customHeight="1">
      <c r="S511" s="19"/>
      <c r="T511" s="31" t="s">
        <v>1349</v>
      </c>
      <c r="U511" s="17">
        <v>48.05</v>
      </c>
      <c r="V511" s="15">
        <v>126.89</v>
      </c>
      <c r="W511" s="34">
        <v>87.47</v>
      </c>
    </row>
    <row r="512" spans="19:23" ht="14.25" customHeight="1">
      <c r="S512" s="19"/>
      <c r="T512" s="31" t="s">
        <v>1350</v>
      </c>
      <c r="U512" s="17">
        <v>107.33</v>
      </c>
      <c r="V512" s="15">
        <v>99.61</v>
      </c>
      <c r="W512" s="34">
        <v>103.47</v>
      </c>
    </row>
    <row r="513" spans="19:23" ht="14.25" customHeight="1">
      <c r="S513" s="19"/>
      <c r="T513" s="31" t="s">
        <v>1351</v>
      </c>
      <c r="U513" s="17">
        <v>115.57</v>
      </c>
      <c r="V513" s="15">
        <v>106.78</v>
      </c>
      <c r="W513" s="34">
        <v>111.18</v>
      </c>
    </row>
    <row r="514" spans="19:23" ht="14.25" customHeight="1">
      <c r="S514" s="19"/>
      <c r="T514" s="31" t="s">
        <v>1352</v>
      </c>
      <c r="U514" s="17">
        <v>94.78</v>
      </c>
      <c r="V514" s="15">
        <v>163.72</v>
      </c>
      <c r="W514" s="34">
        <v>129.25</v>
      </c>
    </row>
    <row r="515" spans="19:23" ht="14.25" customHeight="1">
      <c r="S515" s="19"/>
      <c r="T515" s="31" t="s">
        <v>1353</v>
      </c>
      <c r="U515" s="17">
        <v>122.02</v>
      </c>
      <c r="V515" s="15">
        <v>106.91</v>
      </c>
      <c r="W515" s="34">
        <v>114.47</v>
      </c>
    </row>
    <row r="516" spans="19:23" ht="14.25" customHeight="1">
      <c r="S516" s="19"/>
      <c r="T516" s="31" t="s">
        <v>1354</v>
      </c>
      <c r="U516" s="17">
        <v>102.59</v>
      </c>
      <c r="V516" s="15">
        <v>103.36</v>
      </c>
      <c r="W516" s="34">
        <v>102.98</v>
      </c>
    </row>
    <row r="517" spans="19:23" ht="14.25" customHeight="1">
      <c r="S517" s="19"/>
      <c r="T517" s="31" t="s">
        <v>1355</v>
      </c>
      <c r="U517" s="17">
        <v>78.959999999999994</v>
      </c>
      <c r="V517" s="15">
        <v>99.35</v>
      </c>
      <c r="W517" s="34">
        <v>89.16</v>
      </c>
    </row>
    <row r="518" spans="19:23" ht="14.25" customHeight="1">
      <c r="S518" s="19"/>
      <c r="T518" s="31" t="s">
        <v>1356</v>
      </c>
      <c r="U518" s="17">
        <v>69.39</v>
      </c>
      <c r="V518" s="15">
        <v>99.1</v>
      </c>
      <c r="W518" s="34">
        <v>84.25</v>
      </c>
    </row>
    <row r="519" spans="19:23" ht="14.25" customHeight="1">
      <c r="S519" s="19"/>
      <c r="T519" s="31" t="s">
        <v>1357</v>
      </c>
      <c r="U519" s="17">
        <v>103.08</v>
      </c>
      <c r="V519" s="15">
        <v>137.6</v>
      </c>
      <c r="W519" s="34">
        <v>120.34</v>
      </c>
    </row>
    <row r="520" spans="19:23" ht="14.25" customHeight="1">
      <c r="S520" s="19"/>
      <c r="T520" s="31" t="s">
        <v>1358</v>
      </c>
      <c r="U520" s="17">
        <v>100.15</v>
      </c>
      <c r="V520" s="15">
        <v>98.24</v>
      </c>
      <c r="W520" s="34">
        <v>99.2</v>
      </c>
    </row>
    <row r="521" spans="19:23" ht="14.25" customHeight="1">
      <c r="S521" s="19"/>
      <c r="T521" s="31" t="s">
        <v>1359</v>
      </c>
      <c r="U521" s="17">
        <v>115.26</v>
      </c>
      <c r="V521" s="15">
        <v>70.3</v>
      </c>
      <c r="W521" s="34">
        <v>92.78</v>
      </c>
    </row>
    <row r="522" spans="19:23" ht="14.25" customHeight="1">
      <c r="S522" s="19"/>
      <c r="T522" s="31" t="s">
        <v>1360</v>
      </c>
      <c r="U522" s="17">
        <v>115.11</v>
      </c>
      <c r="V522" s="15">
        <v>137.13</v>
      </c>
      <c r="W522" s="34">
        <v>126.12</v>
      </c>
    </row>
    <row r="523" spans="19:23" ht="14.25" customHeight="1">
      <c r="S523" s="19"/>
      <c r="T523" s="31" t="s">
        <v>1361</v>
      </c>
      <c r="U523" s="17">
        <v>108.45</v>
      </c>
      <c r="V523" s="15">
        <v>111.1</v>
      </c>
      <c r="W523" s="34">
        <v>109.78</v>
      </c>
    </row>
    <row r="524" spans="19:23" ht="14.25" customHeight="1">
      <c r="S524" s="19"/>
      <c r="T524" s="31" t="s">
        <v>1362</v>
      </c>
      <c r="U524" s="17">
        <v>78.05</v>
      </c>
      <c r="V524" s="15">
        <v>99.49</v>
      </c>
      <c r="W524" s="34">
        <v>88.77</v>
      </c>
    </row>
    <row r="525" spans="19:23" ht="14.25" customHeight="1">
      <c r="S525" s="19"/>
      <c r="T525" s="31" t="s">
        <v>1363</v>
      </c>
      <c r="U525" s="17">
        <v>106.2</v>
      </c>
      <c r="V525" s="15">
        <v>102.73</v>
      </c>
      <c r="W525" s="34">
        <v>104.47</v>
      </c>
    </row>
    <row r="526" spans="19:23" ht="14.25" customHeight="1">
      <c r="S526" s="19"/>
      <c r="T526" s="31" t="s">
        <v>1364</v>
      </c>
      <c r="U526" s="17">
        <v>97.79</v>
      </c>
      <c r="V526" s="15">
        <v>93.48</v>
      </c>
      <c r="W526" s="34">
        <v>95.64</v>
      </c>
    </row>
    <row r="527" spans="19:23" ht="14.25" customHeight="1">
      <c r="S527" s="19"/>
      <c r="T527" s="31" t="s">
        <v>1365</v>
      </c>
      <c r="U527" s="17">
        <v>66</v>
      </c>
      <c r="V527" s="15">
        <v>109.75</v>
      </c>
      <c r="W527" s="34">
        <v>87.88</v>
      </c>
    </row>
    <row r="528" spans="19:23" ht="14.25" customHeight="1">
      <c r="S528" s="19"/>
      <c r="T528" s="31" t="s">
        <v>1366</v>
      </c>
      <c r="U528" s="17">
        <v>78.52</v>
      </c>
      <c r="V528" s="15">
        <v>102.15</v>
      </c>
      <c r="W528" s="34">
        <v>90.34</v>
      </c>
    </row>
    <row r="529" spans="19:23" ht="14.25" customHeight="1">
      <c r="S529" s="19"/>
      <c r="T529" s="31" t="s">
        <v>1367</v>
      </c>
      <c r="U529" s="17">
        <v>90.35</v>
      </c>
      <c r="V529" s="15">
        <v>100.3</v>
      </c>
      <c r="W529" s="34">
        <v>95.33</v>
      </c>
    </row>
    <row r="530" spans="19:23" ht="14.25" customHeight="1">
      <c r="S530" s="19"/>
      <c r="T530" s="31" t="s">
        <v>1368</v>
      </c>
      <c r="U530" s="17">
        <v>36.99</v>
      </c>
      <c r="V530" s="15">
        <v>120.29</v>
      </c>
      <c r="W530" s="34">
        <v>78.64</v>
      </c>
    </row>
    <row r="531" spans="19:23" ht="14.25" customHeight="1">
      <c r="S531" s="19"/>
      <c r="T531" s="31" t="s">
        <v>1369</v>
      </c>
      <c r="U531" s="17">
        <v>50.33</v>
      </c>
      <c r="V531" s="15">
        <v>81.12</v>
      </c>
      <c r="W531" s="34">
        <v>65.73</v>
      </c>
    </row>
    <row r="532" spans="19:23" ht="14.25" customHeight="1">
      <c r="S532" s="19"/>
      <c r="T532" s="31" t="s">
        <v>1370</v>
      </c>
      <c r="U532" s="17">
        <v>10.79</v>
      </c>
      <c r="V532" s="15">
        <v>120.89</v>
      </c>
      <c r="W532" s="34">
        <v>65.84</v>
      </c>
    </row>
    <row r="533" spans="19:23" ht="14.25" customHeight="1">
      <c r="S533" s="19"/>
      <c r="T533" s="31" t="s">
        <v>1371</v>
      </c>
      <c r="U533" s="17">
        <v>105.24</v>
      </c>
      <c r="V533" s="15">
        <v>92.16</v>
      </c>
      <c r="W533" s="34">
        <v>98.7</v>
      </c>
    </row>
    <row r="534" spans="19:23" ht="14.25" customHeight="1">
      <c r="S534" s="19"/>
      <c r="T534" s="31" t="s">
        <v>1372</v>
      </c>
      <c r="U534" s="17">
        <v>73.61</v>
      </c>
      <c r="V534" s="15">
        <v>103.98</v>
      </c>
      <c r="W534" s="34">
        <v>88.8</v>
      </c>
    </row>
    <row r="535" spans="19:23" ht="14.25" customHeight="1">
      <c r="S535" s="19"/>
      <c r="T535" s="31" t="s">
        <v>1373</v>
      </c>
      <c r="U535" s="17">
        <v>124.14</v>
      </c>
      <c r="V535" s="15">
        <v>118.52</v>
      </c>
      <c r="W535" s="34">
        <v>121.33</v>
      </c>
    </row>
    <row r="536" spans="19:23" ht="14.25" customHeight="1">
      <c r="S536" s="19"/>
      <c r="T536" s="31" t="s">
        <v>1374</v>
      </c>
      <c r="U536" s="17">
        <v>65.77</v>
      </c>
      <c r="V536" s="15">
        <v>116.75</v>
      </c>
      <c r="W536" s="34">
        <v>91.26</v>
      </c>
    </row>
    <row r="537" spans="19:23" ht="14.25" customHeight="1">
      <c r="S537" s="19"/>
      <c r="T537" s="31" t="s">
        <v>1375</v>
      </c>
      <c r="U537" s="17">
        <v>112.43</v>
      </c>
      <c r="V537" s="15">
        <v>117.44</v>
      </c>
      <c r="W537" s="34">
        <v>114.94</v>
      </c>
    </row>
    <row r="538" spans="19:23" ht="14.25" customHeight="1">
      <c r="S538" s="19"/>
      <c r="T538" s="31" t="s">
        <v>1376</v>
      </c>
      <c r="U538" s="17">
        <v>86.07</v>
      </c>
      <c r="V538" s="15">
        <v>93.56</v>
      </c>
      <c r="W538" s="34">
        <v>89.82</v>
      </c>
    </row>
    <row r="539" spans="19:23" ht="14.25" customHeight="1">
      <c r="S539" s="19"/>
      <c r="T539" s="31" t="s">
        <v>1377</v>
      </c>
      <c r="U539" s="17">
        <v>88.29</v>
      </c>
      <c r="V539" s="15">
        <v>98.61</v>
      </c>
      <c r="W539" s="34">
        <v>93.45</v>
      </c>
    </row>
    <row r="540" spans="19:23" ht="14.25" customHeight="1">
      <c r="S540" s="19"/>
      <c r="T540" s="31" t="s">
        <v>1378</v>
      </c>
      <c r="U540" s="17">
        <v>96.26</v>
      </c>
      <c r="V540" s="15">
        <v>90.44</v>
      </c>
      <c r="W540" s="34">
        <v>93.35</v>
      </c>
    </row>
    <row r="541" spans="19:23" ht="14.25" customHeight="1">
      <c r="S541" s="19"/>
      <c r="T541" s="31" t="s">
        <v>1379</v>
      </c>
      <c r="U541" s="17">
        <v>94.91</v>
      </c>
      <c r="V541" s="15">
        <v>100.74</v>
      </c>
      <c r="W541" s="34">
        <v>97.83</v>
      </c>
    </row>
    <row r="542" spans="19:23" ht="14.25" customHeight="1">
      <c r="S542" s="19"/>
      <c r="T542" s="31" t="s">
        <v>1380</v>
      </c>
      <c r="U542" s="17">
        <v>84.94</v>
      </c>
      <c r="V542" s="15">
        <v>105.31</v>
      </c>
      <c r="W542" s="34">
        <v>95.13</v>
      </c>
    </row>
    <row r="543" spans="19:23" ht="14.25" customHeight="1">
      <c r="S543" s="19"/>
      <c r="T543" s="31" t="s">
        <v>1381</v>
      </c>
      <c r="U543" s="17">
        <v>44.26</v>
      </c>
      <c r="V543" s="15">
        <v>116.71</v>
      </c>
      <c r="W543" s="34">
        <v>80.489999999999995</v>
      </c>
    </row>
    <row r="544" spans="19:23" ht="14.25" customHeight="1">
      <c r="S544" s="19"/>
      <c r="T544" s="31" t="s">
        <v>1382</v>
      </c>
      <c r="U544" s="17">
        <v>107.4</v>
      </c>
      <c r="V544" s="15">
        <v>113.09</v>
      </c>
      <c r="W544" s="34">
        <v>110.25</v>
      </c>
    </row>
    <row r="545" spans="19:23" ht="14.25" customHeight="1">
      <c r="S545" s="19"/>
      <c r="T545" s="31" t="s">
        <v>1383</v>
      </c>
      <c r="U545" s="17">
        <v>72.040000000000006</v>
      </c>
      <c r="V545" s="15">
        <v>100.88</v>
      </c>
      <c r="W545" s="34">
        <v>86.46</v>
      </c>
    </row>
    <row r="546" spans="19:23" ht="14.25" customHeight="1">
      <c r="S546" s="19"/>
      <c r="T546" s="31" t="s">
        <v>1384</v>
      </c>
      <c r="U546" s="17">
        <v>112.62</v>
      </c>
      <c r="V546" s="15">
        <v>406.1</v>
      </c>
      <c r="W546" s="34">
        <v>259.36</v>
      </c>
    </row>
    <row r="547" spans="19:23" ht="14.25" customHeight="1">
      <c r="S547" s="19"/>
      <c r="T547" s="31" t="s">
        <v>1385</v>
      </c>
      <c r="U547" s="17">
        <v>97.19</v>
      </c>
      <c r="V547" s="15">
        <v>322.38</v>
      </c>
      <c r="W547" s="34">
        <v>209.79</v>
      </c>
    </row>
    <row r="548" spans="19:23" ht="14.25" customHeight="1">
      <c r="S548" s="19"/>
      <c r="T548" s="31" t="s">
        <v>1386</v>
      </c>
      <c r="U548" s="17">
        <v>76.64</v>
      </c>
      <c r="V548" s="15">
        <v>106.67</v>
      </c>
      <c r="W548" s="34">
        <v>91.66</v>
      </c>
    </row>
    <row r="549" spans="19:23" ht="14.25" customHeight="1">
      <c r="S549" s="19"/>
      <c r="T549" s="31" t="s">
        <v>1387</v>
      </c>
      <c r="U549" s="17">
        <v>75.790000000000006</v>
      </c>
      <c r="V549" s="15">
        <v>113.89</v>
      </c>
      <c r="W549" s="34">
        <v>94.84</v>
      </c>
    </row>
    <row r="550" spans="19:23" ht="14.25" customHeight="1">
      <c r="S550" s="19"/>
      <c r="T550" s="31" t="s">
        <v>1388</v>
      </c>
      <c r="U550" s="17">
        <v>113.36</v>
      </c>
      <c r="V550" s="15">
        <v>121.25</v>
      </c>
      <c r="W550" s="34">
        <v>117.31</v>
      </c>
    </row>
    <row r="551" spans="19:23" ht="14.25" customHeight="1">
      <c r="S551" s="19"/>
      <c r="T551" s="31" t="s">
        <v>1389</v>
      </c>
      <c r="U551" s="17">
        <v>92.33</v>
      </c>
      <c r="V551" s="15">
        <v>101.78</v>
      </c>
      <c r="W551" s="34">
        <v>97.06</v>
      </c>
    </row>
    <row r="552" spans="19:23" ht="14.25" customHeight="1">
      <c r="S552" s="19"/>
      <c r="T552" s="31" t="s">
        <v>1390</v>
      </c>
      <c r="U552" s="17">
        <v>89.82</v>
      </c>
      <c r="V552" s="15">
        <v>95.28</v>
      </c>
      <c r="W552" s="34">
        <v>92.55</v>
      </c>
    </row>
    <row r="553" spans="19:23" ht="14.25" customHeight="1">
      <c r="S553" s="19"/>
      <c r="T553" s="31" t="s">
        <v>1391</v>
      </c>
      <c r="U553" s="17">
        <v>89.39</v>
      </c>
      <c r="V553" s="15">
        <v>84.61</v>
      </c>
      <c r="W553" s="34">
        <v>87</v>
      </c>
    </row>
    <row r="554" spans="19:23" ht="14.25" customHeight="1">
      <c r="S554" s="19"/>
      <c r="T554" s="31" t="s">
        <v>1392</v>
      </c>
      <c r="U554" s="17">
        <v>115.63</v>
      </c>
      <c r="V554" s="15">
        <v>93.16</v>
      </c>
      <c r="W554" s="34">
        <v>104.4</v>
      </c>
    </row>
    <row r="555" spans="19:23" ht="14.25" customHeight="1">
      <c r="S555" s="19"/>
      <c r="T555" s="31" t="s">
        <v>1393</v>
      </c>
      <c r="U555" s="17">
        <v>82.18</v>
      </c>
      <c r="V555" s="15">
        <v>98.19</v>
      </c>
      <c r="W555" s="34">
        <v>90.19</v>
      </c>
    </row>
    <row r="556" spans="19:23" ht="14.25" customHeight="1">
      <c r="S556" s="19"/>
      <c r="T556" s="31" t="s">
        <v>1394</v>
      </c>
      <c r="U556" s="17">
        <v>105.84</v>
      </c>
      <c r="V556" s="15">
        <v>100.65</v>
      </c>
      <c r="W556" s="34">
        <v>103.25</v>
      </c>
    </row>
    <row r="557" spans="19:23" ht="14.25" customHeight="1">
      <c r="S557" s="19"/>
      <c r="T557" s="31" t="s">
        <v>1395</v>
      </c>
      <c r="U557" s="17">
        <v>87.85</v>
      </c>
      <c r="V557" s="15">
        <v>83.31</v>
      </c>
      <c r="W557" s="34">
        <v>85.58</v>
      </c>
    </row>
    <row r="558" spans="19:23" ht="14.25" customHeight="1">
      <c r="S558" s="19"/>
      <c r="T558" s="31" t="s">
        <v>1396</v>
      </c>
      <c r="U558" s="17">
        <v>72.38</v>
      </c>
      <c r="V558" s="15">
        <v>109.68</v>
      </c>
      <c r="W558" s="34">
        <v>91.03</v>
      </c>
    </row>
    <row r="559" spans="19:23" ht="14.25" customHeight="1">
      <c r="S559" s="19"/>
      <c r="T559" s="31" t="s">
        <v>1397</v>
      </c>
      <c r="U559" s="17">
        <v>92.94</v>
      </c>
      <c r="V559" s="15">
        <v>132</v>
      </c>
      <c r="W559" s="34">
        <v>112.47</v>
      </c>
    </row>
    <row r="560" spans="19:23" ht="14.25" customHeight="1">
      <c r="S560" s="19"/>
      <c r="T560" s="31" t="s">
        <v>1398</v>
      </c>
      <c r="U560" s="17">
        <v>20</v>
      </c>
      <c r="V560" s="15">
        <v>95</v>
      </c>
      <c r="W560" s="34">
        <v>57.5</v>
      </c>
    </row>
    <row r="561" spans="19:23" ht="14.25" customHeight="1">
      <c r="S561" s="19"/>
      <c r="T561" s="31" t="s">
        <v>1399</v>
      </c>
      <c r="U561" s="17">
        <v>101.84</v>
      </c>
      <c r="V561" s="15">
        <v>83.46</v>
      </c>
      <c r="W561" s="34">
        <v>92.65</v>
      </c>
    </row>
    <row r="562" spans="19:23" ht="14.25" customHeight="1">
      <c r="S562" s="19"/>
      <c r="T562" s="31" t="s">
        <v>1400</v>
      </c>
      <c r="U562" s="17">
        <v>38.78</v>
      </c>
      <c r="V562" s="15">
        <v>110.08</v>
      </c>
      <c r="W562" s="34">
        <v>74.430000000000007</v>
      </c>
    </row>
    <row r="563" spans="19:23" ht="14.25" customHeight="1">
      <c r="S563" s="19"/>
      <c r="T563" s="31" t="s">
        <v>1401</v>
      </c>
      <c r="U563" s="17">
        <v>88.58</v>
      </c>
      <c r="V563" s="15">
        <v>95.24</v>
      </c>
      <c r="W563" s="34">
        <v>91.91</v>
      </c>
    </row>
    <row r="564" spans="19:23" ht="14.25" customHeight="1">
      <c r="S564" s="19"/>
      <c r="T564" s="31" t="s">
        <v>1402</v>
      </c>
      <c r="U564" s="17">
        <v>114.73</v>
      </c>
      <c r="V564" s="15">
        <v>87.77</v>
      </c>
      <c r="W564" s="34">
        <v>101.25</v>
      </c>
    </row>
    <row r="565" spans="19:23" ht="14.25" customHeight="1">
      <c r="S565" s="19"/>
      <c r="T565" s="31" t="s">
        <v>1403</v>
      </c>
      <c r="U565" s="17">
        <v>122.22</v>
      </c>
      <c r="V565" s="15">
        <v>110.23</v>
      </c>
      <c r="W565" s="34">
        <v>116.23</v>
      </c>
    </row>
    <row r="566" spans="19:23" ht="14.25" customHeight="1">
      <c r="S566" s="19"/>
      <c r="T566" s="31" t="s">
        <v>1404</v>
      </c>
      <c r="U566" s="17">
        <v>98.68</v>
      </c>
      <c r="V566" s="15">
        <v>83.08</v>
      </c>
      <c r="W566" s="34">
        <v>90.88</v>
      </c>
    </row>
    <row r="567" spans="19:23" ht="14.25" customHeight="1">
      <c r="S567" s="19"/>
      <c r="T567" s="31" t="s">
        <v>1405</v>
      </c>
      <c r="U567" s="17">
        <v>137.68</v>
      </c>
      <c r="V567" s="15">
        <v>147.65</v>
      </c>
      <c r="W567" s="34">
        <v>142.66999999999999</v>
      </c>
    </row>
    <row r="568" spans="19:23" ht="14.25" customHeight="1">
      <c r="S568" s="19"/>
      <c r="T568" s="31" t="s">
        <v>1406</v>
      </c>
      <c r="U568" s="17">
        <v>68.02</v>
      </c>
      <c r="V568" s="15">
        <v>97.14</v>
      </c>
      <c r="W568" s="34">
        <v>82.58</v>
      </c>
    </row>
    <row r="569" spans="19:23" ht="14.25" customHeight="1">
      <c r="S569" s="19"/>
      <c r="T569" s="31" t="s">
        <v>1407</v>
      </c>
      <c r="U569" s="17">
        <v>101.83</v>
      </c>
      <c r="V569" s="15">
        <v>93.22</v>
      </c>
      <c r="W569" s="34">
        <v>97.53</v>
      </c>
    </row>
    <row r="570" spans="19:23" ht="14.25" customHeight="1">
      <c r="S570" s="19"/>
      <c r="T570" s="31" t="s">
        <v>1408</v>
      </c>
      <c r="U570" s="17">
        <v>106.18</v>
      </c>
      <c r="V570" s="15">
        <v>95.93</v>
      </c>
      <c r="W570" s="34">
        <v>101.06</v>
      </c>
    </row>
    <row r="571" spans="19:23" ht="14.25" customHeight="1">
      <c r="S571" s="19"/>
      <c r="T571" s="31" t="s">
        <v>1409</v>
      </c>
      <c r="U571" s="17">
        <v>82.03</v>
      </c>
      <c r="V571" s="15">
        <v>89.11</v>
      </c>
      <c r="W571" s="34">
        <v>85.57</v>
      </c>
    </row>
    <row r="572" spans="19:23" ht="14.25" customHeight="1">
      <c r="S572" s="19"/>
      <c r="T572" s="31" t="s">
        <v>1410</v>
      </c>
      <c r="U572" s="17">
        <v>78.48</v>
      </c>
      <c r="V572" s="15">
        <v>109.24</v>
      </c>
      <c r="W572" s="34">
        <v>93.86</v>
      </c>
    </row>
    <row r="573" spans="19:23" ht="14.25" customHeight="1">
      <c r="S573" s="19"/>
      <c r="T573" s="31" t="s">
        <v>1411</v>
      </c>
      <c r="U573" s="17">
        <v>97.05</v>
      </c>
      <c r="V573" s="15">
        <v>98.3</v>
      </c>
      <c r="W573" s="34">
        <v>97.68</v>
      </c>
    </row>
    <row r="574" spans="19:23" ht="14.25" customHeight="1">
      <c r="S574" s="19"/>
      <c r="T574" s="31" t="s">
        <v>1412</v>
      </c>
      <c r="U574" s="17">
        <v>88.43</v>
      </c>
      <c r="V574" s="15">
        <v>96.04</v>
      </c>
      <c r="W574" s="34">
        <v>92.24</v>
      </c>
    </row>
    <row r="575" spans="19:23" ht="14.25" customHeight="1">
      <c r="S575" s="19"/>
      <c r="T575" s="31" t="s">
        <v>1413</v>
      </c>
      <c r="U575" s="17">
        <v>96.29</v>
      </c>
      <c r="V575" s="15">
        <v>110.52</v>
      </c>
      <c r="W575" s="34">
        <v>103.41</v>
      </c>
    </row>
    <row r="576" spans="19:23" ht="14.25" customHeight="1">
      <c r="S576" s="19"/>
      <c r="T576" s="31" t="s">
        <v>1414</v>
      </c>
      <c r="U576" s="17">
        <v>27.53</v>
      </c>
      <c r="V576" s="15">
        <v>97.02</v>
      </c>
      <c r="W576" s="34">
        <v>62.28</v>
      </c>
    </row>
    <row r="577" spans="19:23" ht="14.25" customHeight="1">
      <c r="S577" s="19"/>
      <c r="T577" s="31" t="s">
        <v>1415</v>
      </c>
      <c r="U577" s="17">
        <v>74.650000000000006</v>
      </c>
      <c r="V577" s="15">
        <v>132.57</v>
      </c>
      <c r="W577" s="34">
        <v>103.61</v>
      </c>
    </row>
    <row r="578" spans="19:23" ht="14.25" customHeight="1">
      <c r="S578" s="19"/>
      <c r="T578" s="31" t="s">
        <v>1416</v>
      </c>
      <c r="U578" s="17">
        <v>85.02</v>
      </c>
      <c r="V578" s="15">
        <v>70.84</v>
      </c>
      <c r="W578" s="34">
        <v>77.930000000000007</v>
      </c>
    </row>
    <row r="579" spans="19:23" ht="14.25" customHeight="1">
      <c r="S579" s="19"/>
      <c r="T579" s="31" t="s">
        <v>1417</v>
      </c>
      <c r="U579" s="17">
        <v>66.67</v>
      </c>
      <c r="V579" s="15">
        <v>120.15</v>
      </c>
      <c r="W579" s="34">
        <v>93.41</v>
      </c>
    </row>
    <row r="580" spans="19:23" ht="14.25" customHeight="1">
      <c r="S580" s="19"/>
      <c r="T580" s="31" t="s">
        <v>1418</v>
      </c>
      <c r="U580" s="17">
        <v>54.21</v>
      </c>
      <c r="V580" s="15">
        <v>108.67</v>
      </c>
      <c r="W580" s="34">
        <v>81.44</v>
      </c>
    </row>
    <row r="581" spans="19:23" ht="14.25" customHeight="1">
      <c r="S581" s="19"/>
      <c r="T581" s="31" t="s">
        <v>1419</v>
      </c>
      <c r="U581" s="17">
        <v>98.02</v>
      </c>
      <c r="V581" s="15">
        <v>123.33</v>
      </c>
      <c r="W581" s="34">
        <v>110.68</v>
      </c>
    </row>
    <row r="582" spans="19:23" ht="14.25" customHeight="1">
      <c r="S582" s="19"/>
      <c r="T582" s="31" t="s">
        <v>1420</v>
      </c>
      <c r="U582" s="17">
        <v>80.180000000000007</v>
      </c>
      <c r="V582" s="15">
        <v>95.85</v>
      </c>
      <c r="W582" s="34">
        <v>88.02</v>
      </c>
    </row>
    <row r="583" spans="19:23" ht="14.25" customHeight="1">
      <c r="S583" s="19"/>
      <c r="T583" s="31" t="s">
        <v>1421</v>
      </c>
      <c r="U583" s="17">
        <v>86.75</v>
      </c>
      <c r="V583" s="15">
        <v>98.43</v>
      </c>
      <c r="W583" s="34">
        <v>92.59</v>
      </c>
    </row>
    <row r="584" spans="19:23" ht="14.25" customHeight="1">
      <c r="S584" s="19"/>
      <c r="T584" s="31" t="s">
        <v>1422</v>
      </c>
      <c r="U584" s="17">
        <v>92.8</v>
      </c>
      <c r="V584" s="15">
        <v>100.39</v>
      </c>
      <c r="W584" s="34">
        <v>96.6</v>
      </c>
    </row>
    <row r="585" spans="19:23" ht="14.25" customHeight="1">
      <c r="S585" s="19"/>
      <c r="T585" s="31" t="s">
        <v>1423</v>
      </c>
      <c r="U585" s="17">
        <v>76.209999999999994</v>
      </c>
      <c r="V585" s="15">
        <v>101.4</v>
      </c>
      <c r="W585" s="34">
        <v>88.81</v>
      </c>
    </row>
    <row r="586" spans="19:23" ht="14.25" customHeight="1">
      <c r="S586" s="19"/>
      <c r="T586" s="31" t="s">
        <v>1424</v>
      </c>
      <c r="U586" s="17">
        <v>88</v>
      </c>
      <c r="V586" s="15">
        <v>127.68</v>
      </c>
      <c r="W586" s="34">
        <v>107.84</v>
      </c>
    </row>
    <row r="587" spans="19:23" ht="14.25" customHeight="1">
      <c r="S587" s="19"/>
      <c r="T587" s="31" t="s">
        <v>1425</v>
      </c>
      <c r="U587" s="17">
        <v>50.93</v>
      </c>
      <c r="V587" s="15">
        <v>99.52</v>
      </c>
      <c r="W587" s="34">
        <v>75.23</v>
      </c>
    </row>
    <row r="588" spans="19:23" ht="14.25" customHeight="1">
      <c r="S588" s="19"/>
      <c r="T588" s="31" t="s">
        <v>1426</v>
      </c>
      <c r="U588" s="17">
        <v>90.12</v>
      </c>
      <c r="V588" s="15">
        <v>101.37</v>
      </c>
      <c r="W588" s="34">
        <v>95.75</v>
      </c>
    </row>
    <row r="589" spans="19:23" ht="14.25" customHeight="1">
      <c r="S589" s="19"/>
      <c r="T589" s="31" t="s">
        <v>1427</v>
      </c>
      <c r="U589" s="17">
        <v>106.75</v>
      </c>
      <c r="V589" s="15">
        <v>99.89</v>
      </c>
      <c r="W589" s="34">
        <v>103.32</v>
      </c>
    </row>
    <row r="590" spans="19:23" ht="14.25" customHeight="1">
      <c r="S590" s="19"/>
      <c r="T590" s="31" t="s">
        <v>1428</v>
      </c>
      <c r="U590" s="17">
        <v>73.28</v>
      </c>
      <c r="V590" s="15">
        <v>124.67</v>
      </c>
      <c r="W590" s="34">
        <v>98.98</v>
      </c>
    </row>
    <row r="591" spans="19:23" ht="14.25" customHeight="1">
      <c r="S591" s="19"/>
      <c r="T591" s="31" t="s">
        <v>1429</v>
      </c>
      <c r="U591" s="17">
        <v>78.430000000000007</v>
      </c>
      <c r="V591" s="15">
        <v>102.45</v>
      </c>
      <c r="W591" s="34">
        <v>90.44</v>
      </c>
    </row>
    <row r="592" spans="19:23" ht="14.25" customHeight="1">
      <c r="S592" s="19"/>
      <c r="T592" s="31" t="s">
        <v>1430</v>
      </c>
      <c r="U592" s="17">
        <v>91.04</v>
      </c>
      <c r="V592" s="15">
        <v>404</v>
      </c>
      <c r="W592" s="34">
        <v>247.52</v>
      </c>
    </row>
    <row r="593" spans="19:23" ht="14.25" customHeight="1">
      <c r="S593" s="19"/>
      <c r="T593" s="31" t="s">
        <v>1431</v>
      </c>
      <c r="U593" s="17">
        <v>112.82</v>
      </c>
      <c r="V593" s="15">
        <v>118.71</v>
      </c>
      <c r="W593" s="34">
        <v>115.77</v>
      </c>
    </row>
    <row r="594" spans="19:23" ht="14.25" customHeight="1">
      <c r="S594" s="19"/>
      <c r="T594" s="31" t="s">
        <v>1432</v>
      </c>
      <c r="U594" s="17">
        <v>42.6</v>
      </c>
      <c r="V594" s="15">
        <v>88.98</v>
      </c>
      <c r="W594" s="34">
        <v>65.790000000000006</v>
      </c>
    </row>
    <row r="595" spans="19:23" ht="14.25" customHeight="1">
      <c r="S595" s="19"/>
      <c r="T595" s="31" t="s">
        <v>1433</v>
      </c>
      <c r="U595" s="17">
        <v>113.84</v>
      </c>
      <c r="V595" s="15">
        <v>102.89</v>
      </c>
      <c r="W595" s="34">
        <v>108.37</v>
      </c>
    </row>
    <row r="596" spans="19:23" ht="14.25" customHeight="1">
      <c r="S596" s="19"/>
      <c r="T596" s="31" t="s">
        <v>1434</v>
      </c>
      <c r="U596" s="17">
        <v>89.44</v>
      </c>
      <c r="V596" s="15">
        <v>114.59</v>
      </c>
      <c r="W596" s="34">
        <v>102.02</v>
      </c>
    </row>
    <row r="597" spans="19:23" ht="14.25" customHeight="1">
      <c r="S597" s="19"/>
      <c r="T597" s="31" t="s">
        <v>1435</v>
      </c>
      <c r="U597" s="17">
        <v>89.12</v>
      </c>
      <c r="V597" s="15">
        <v>121.71</v>
      </c>
      <c r="W597" s="34">
        <v>105.42</v>
      </c>
    </row>
    <row r="598" spans="19:23" ht="14.25" customHeight="1">
      <c r="S598" s="19"/>
      <c r="T598" s="31" t="s">
        <v>1436</v>
      </c>
      <c r="U598" s="17">
        <v>123.94</v>
      </c>
      <c r="V598" s="15">
        <v>134.87</v>
      </c>
      <c r="W598" s="34">
        <v>129.41</v>
      </c>
    </row>
    <row r="599" spans="19:23" ht="14.25" customHeight="1">
      <c r="S599" s="19"/>
      <c r="T599" s="31" t="s">
        <v>1437</v>
      </c>
      <c r="U599" s="17">
        <v>121.44</v>
      </c>
      <c r="V599" s="15">
        <v>99.69</v>
      </c>
      <c r="W599" s="34">
        <v>110.57</v>
      </c>
    </row>
    <row r="600" spans="19:23" ht="14.25" customHeight="1">
      <c r="S600" s="19"/>
      <c r="T600" s="31" t="s">
        <v>1438</v>
      </c>
      <c r="U600" s="17">
        <v>93.82</v>
      </c>
      <c r="V600" s="15">
        <v>93.86</v>
      </c>
      <c r="W600" s="34">
        <v>93.84</v>
      </c>
    </row>
    <row r="601" spans="19:23" ht="14.25" customHeight="1">
      <c r="S601" s="19"/>
      <c r="T601" s="31" t="s">
        <v>1439</v>
      </c>
      <c r="U601" s="17">
        <v>135.22999999999999</v>
      </c>
      <c r="V601" s="15">
        <v>95.72</v>
      </c>
      <c r="W601" s="34">
        <v>115.48</v>
      </c>
    </row>
    <row r="602" spans="19:23" ht="14.25" customHeight="1">
      <c r="S602" s="19"/>
      <c r="T602" s="31" t="s">
        <v>1440</v>
      </c>
      <c r="U602" s="17">
        <v>90.21</v>
      </c>
      <c r="V602" s="15">
        <v>100.75</v>
      </c>
      <c r="W602" s="34">
        <v>95.48</v>
      </c>
    </row>
    <row r="603" spans="19:23" ht="14.25" customHeight="1">
      <c r="S603" s="19"/>
      <c r="T603" s="31" t="s">
        <v>1441</v>
      </c>
      <c r="U603" s="17">
        <v>76.989999999999995</v>
      </c>
      <c r="V603" s="15">
        <v>94.89</v>
      </c>
      <c r="W603" s="34">
        <v>85.94</v>
      </c>
    </row>
    <row r="604" spans="19:23" ht="14.25" customHeight="1">
      <c r="S604" s="19"/>
      <c r="T604" s="31" t="s">
        <v>1442</v>
      </c>
      <c r="U604" s="17">
        <v>127.28</v>
      </c>
      <c r="V604" s="15">
        <v>93.95</v>
      </c>
      <c r="W604" s="34">
        <v>110.62</v>
      </c>
    </row>
    <row r="605" spans="19:23" ht="14.25" customHeight="1">
      <c r="S605" s="19"/>
      <c r="T605" s="31" t="s">
        <v>1443</v>
      </c>
      <c r="U605" s="17">
        <v>107.92</v>
      </c>
      <c r="V605" s="15">
        <v>121.74</v>
      </c>
      <c r="W605" s="34">
        <v>114.83</v>
      </c>
    </row>
    <row r="606" spans="19:23" ht="14.25" customHeight="1">
      <c r="S606" s="19"/>
      <c r="T606" s="31" t="s">
        <v>1444</v>
      </c>
      <c r="U606" s="17">
        <v>85.32</v>
      </c>
      <c r="V606" s="15">
        <v>96.53</v>
      </c>
      <c r="W606" s="34">
        <v>90.93</v>
      </c>
    </row>
    <row r="607" spans="19:23" ht="14.25" customHeight="1">
      <c r="S607" s="19"/>
      <c r="T607" s="31" t="s">
        <v>1445</v>
      </c>
      <c r="U607" s="17">
        <v>97.72</v>
      </c>
      <c r="V607" s="15">
        <v>89.66</v>
      </c>
      <c r="W607" s="34">
        <v>93.69</v>
      </c>
    </row>
    <row r="608" spans="19:23" ht="14.25" customHeight="1">
      <c r="S608" s="19"/>
      <c r="T608" s="31" t="s">
        <v>1446</v>
      </c>
      <c r="U608" s="17">
        <v>95.93</v>
      </c>
      <c r="V608" s="15">
        <v>118.74</v>
      </c>
      <c r="W608" s="34">
        <v>107.34</v>
      </c>
    </row>
    <row r="609" spans="19:23" ht="14.25" customHeight="1">
      <c r="S609" s="19"/>
      <c r="T609" s="31" t="s">
        <v>1447</v>
      </c>
      <c r="U609" s="17">
        <v>90.12</v>
      </c>
      <c r="V609" s="15">
        <v>95.05</v>
      </c>
      <c r="W609" s="34">
        <v>92.59</v>
      </c>
    </row>
    <row r="610" spans="19:23" ht="14.25" customHeight="1">
      <c r="S610" s="19"/>
      <c r="T610" s="31" t="s">
        <v>1448</v>
      </c>
      <c r="U610" s="17">
        <v>80.59</v>
      </c>
      <c r="V610" s="15">
        <v>95.88</v>
      </c>
      <c r="W610" s="34">
        <v>88.24</v>
      </c>
    </row>
    <row r="611" spans="19:23" ht="14.25" customHeight="1">
      <c r="S611" s="19"/>
      <c r="T611" s="31" t="s">
        <v>1449</v>
      </c>
      <c r="U611" s="17">
        <v>55.26</v>
      </c>
      <c r="V611" s="15">
        <v>118.5</v>
      </c>
      <c r="W611" s="34">
        <v>86.88</v>
      </c>
    </row>
    <row r="612" spans="19:23" ht="14.25" customHeight="1">
      <c r="S612" s="19"/>
      <c r="T612" s="31" t="s">
        <v>1450</v>
      </c>
      <c r="U612" s="17">
        <v>75.739999999999995</v>
      </c>
      <c r="V612" s="15">
        <v>100.56</v>
      </c>
      <c r="W612" s="34">
        <v>88.15</v>
      </c>
    </row>
    <row r="613" spans="19:23" ht="14.25" customHeight="1">
      <c r="S613" s="19"/>
      <c r="T613" s="31" t="s">
        <v>1451</v>
      </c>
      <c r="U613" s="17">
        <v>85.38</v>
      </c>
      <c r="V613" s="15">
        <v>100.96</v>
      </c>
      <c r="W613" s="34">
        <v>93.17</v>
      </c>
    </row>
    <row r="614" spans="19:23" ht="14.25" customHeight="1">
      <c r="S614" s="19"/>
      <c r="T614" s="31" t="s">
        <v>1452</v>
      </c>
      <c r="U614" s="17">
        <v>51.08</v>
      </c>
      <c r="V614" s="15">
        <v>100.59</v>
      </c>
      <c r="W614" s="34">
        <v>75.84</v>
      </c>
    </row>
    <row r="615" spans="19:23" ht="14.25" customHeight="1">
      <c r="S615" s="19"/>
      <c r="T615" s="31" t="s">
        <v>1453</v>
      </c>
      <c r="U615" s="17">
        <v>76.010000000000005</v>
      </c>
      <c r="V615" s="15">
        <v>118.92</v>
      </c>
      <c r="W615" s="34">
        <v>97.47</v>
      </c>
    </row>
    <row r="616" spans="19:23" ht="14.25" customHeight="1">
      <c r="S616" s="19"/>
      <c r="T616" s="31" t="s">
        <v>1454</v>
      </c>
      <c r="U616" s="17">
        <v>86.93</v>
      </c>
      <c r="V616" s="15">
        <v>84.75</v>
      </c>
      <c r="W616" s="34">
        <v>85.84</v>
      </c>
    </row>
    <row r="617" spans="19:23" ht="14.25" customHeight="1">
      <c r="S617" s="19"/>
      <c r="T617" s="31" t="s">
        <v>1455</v>
      </c>
      <c r="U617" s="17">
        <v>95.57</v>
      </c>
      <c r="V617" s="15">
        <v>94.15</v>
      </c>
      <c r="W617" s="34">
        <v>94.86</v>
      </c>
    </row>
    <row r="618" spans="19:23" ht="14.25" customHeight="1">
      <c r="S618" s="19"/>
      <c r="T618" s="31" t="s">
        <v>1456</v>
      </c>
      <c r="U618" s="17">
        <v>86.44</v>
      </c>
      <c r="V618" s="15">
        <v>100.98</v>
      </c>
      <c r="W618" s="34">
        <v>93.71</v>
      </c>
    </row>
    <row r="619" spans="19:23" ht="14.25" customHeight="1">
      <c r="S619" s="19"/>
      <c r="T619" s="31" t="s">
        <v>1457</v>
      </c>
      <c r="U619" s="17">
        <v>88.2</v>
      </c>
      <c r="V619" s="15">
        <v>91.82</v>
      </c>
      <c r="W619" s="34">
        <v>90.01</v>
      </c>
    </row>
    <row r="620" spans="19:23" ht="14.25" customHeight="1">
      <c r="S620" s="19"/>
      <c r="T620" s="31" t="s">
        <v>1458</v>
      </c>
      <c r="U620" s="17">
        <v>69.180000000000007</v>
      </c>
      <c r="V620" s="15">
        <v>79.87</v>
      </c>
      <c r="W620" s="34">
        <v>74.53</v>
      </c>
    </row>
    <row r="621" spans="19:23" ht="14.25" customHeight="1">
      <c r="S621" s="19"/>
      <c r="T621" s="31" t="s">
        <v>1459</v>
      </c>
      <c r="U621" s="17">
        <v>77.13</v>
      </c>
      <c r="V621" s="15">
        <v>125.52</v>
      </c>
      <c r="W621" s="34">
        <v>101.33</v>
      </c>
    </row>
    <row r="622" spans="19:23" ht="14.25" customHeight="1">
      <c r="S622" s="19"/>
      <c r="T622" s="31" t="s">
        <v>1460</v>
      </c>
      <c r="U622" s="17">
        <v>113.16</v>
      </c>
      <c r="V622" s="15">
        <v>113.23</v>
      </c>
      <c r="W622" s="34">
        <v>113.2</v>
      </c>
    </row>
    <row r="623" spans="19:23" ht="14.25" customHeight="1">
      <c r="S623" s="19"/>
      <c r="T623" s="31" t="s">
        <v>1461</v>
      </c>
      <c r="U623" s="17">
        <v>94.03</v>
      </c>
      <c r="V623" s="15">
        <v>551.01</v>
      </c>
      <c r="W623" s="34">
        <v>322.52</v>
      </c>
    </row>
    <row r="624" spans="19:23" ht="14.25" customHeight="1">
      <c r="S624" s="19"/>
      <c r="T624" s="31" t="s">
        <v>1462</v>
      </c>
      <c r="U624" s="17">
        <v>15.63</v>
      </c>
      <c r="V624" s="15">
        <v>109.09</v>
      </c>
      <c r="W624" s="34">
        <v>62.36</v>
      </c>
    </row>
    <row r="625" spans="19:23" ht="14.25" customHeight="1">
      <c r="S625" s="19"/>
      <c r="T625" s="31" t="s">
        <v>1463</v>
      </c>
      <c r="U625" s="17">
        <v>107.34</v>
      </c>
      <c r="V625" s="15">
        <v>102.01</v>
      </c>
      <c r="W625" s="34">
        <v>104.68</v>
      </c>
    </row>
    <row r="626" spans="19:23" ht="14.25" customHeight="1">
      <c r="S626" s="19"/>
      <c r="T626" s="31" t="s">
        <v>1464</v>
      </c>
      <c r="U626" s="17">
        <v>96.15</v>
      </c>
      <c r="V626" s="15">
        <v>99.87</v>
      </c>
      <c r="W626" s="34">
        <v>98.01</v>
      </c>
    </row>
    <row r="627" spans="19:23" ht="14.25" customHeight="1">
      <c r="S627" s="19"/>
      <c r="T627" s="31" t="s">
        <v>1465</v>
      </c>
      <c r="U627" s="17">
        <v>94.01</v>
      </c>
      <c r="V627" s="15">
        <v>99.42</v>
      </c>
      <c r="W627" s="34">
        <v>96.72</v>
      </c>
    </row>
    <row r="628" spans="19:23" ht="14.25" customHeight="1">
      <c r="S628" s="19"/>
      <c r="T628" s="31" t="s">
        <v>1466</v>
      </c>
      <c r="U628" s="17">
        <v>117.09</v>
      </c>
      <c r="V628" s="15">
        <v>118.64</v>
      </c>
      <c r="W628" s="34">
        <v>117.87</v>
      </c>
    </row>
    <row r="629" spans="19:23" ht="14.25" customHeight="1">
      <c r="S629" s="19"/>
      <c r="T629" s="31" t="s">
        <v>1467</v>
      </c>
      <c r="U629" s="17">
        <v>53.59</v>
      </c>
      <c r="V629" s="15">
        <v>55.6</v>
      </c>
      <c r="W629" s="34">
        <v>54.6</v>
      </c>
    </row>
    <row r="630" spans="19:23" ht="14.25" customHeight="1">
      <c r="S630" s="19"/>
      <c r="T630" s="31" t="s">
        <v>1468</v>
      </c>
      <c r="U630" s="17">
        <v>112.56</v>
      </c>
      <c r="V630" s="15">
        <v>94.85</v>
      </c>
      <c r="W630" s="34">
        <v>103.71</v>
      </c>
    </row>
    <row r="631" spans="19:23" ht="14.25" customHeight="1">
      <c r="S631" s="19"/>
      <c r="T631" s="31" t="s">
        <v>1469</v>
      </c>
      <c r="U631" s="17">
        <v>104.38</v>
      </c>
      <c r="V631" s="15">
        <v>97.53</v>
      </c>
      <c r="W631" s="34">
        <v>100.96</v>
      </c>
    </row>
    <row r="632" spans="19:23" ht="14.25" customHeight="1">
      <c r="S632" s="19"/>
      <c r="T632" s="31" t="s">
        <v>1470</v>
      </c>
      <c r="U632" s="17">
        <v>53.16</v>
      </c>
      <c r="V632" s="15">
        <v>103.84</v>
      </c>
      <c r="W632" s="34">
        <v>78.5</v>
      </c>
    </row>
    <row r="633" spans="19:23" ht="14.25" customHeight="1">
      <c r="S633" s="19"/>
      <c r="T633" s="31" t="s">
        <v>1471</v>
      </c>
      <c r="U633" s="17">
        <v>90.4</v>
      </c>
      <c r="V633" s="15">
        <v>99.31</v>
      </c>
      <c r="W633" s="34">
        <v>94.86</v>
      </c>
    </row>
    <row r="634" spans="19:23" ht="14.25" customHeight="1">
      <c r="S634" s="19"/>
      <c r="T634" s="31" t="s">
        <v>1472</v>
      </c>
      <c r="U634" s="17">
        <v>101.81</v>
      </c>
      <c r="V634" s="15">
        <v>92.97</v>
      </c>
      <c r="W634" s="34">
        <v>97.39</v>
      </c>
    </row>
    <row r="635" spans="19:23" ht="14.25" customHeight="1">
      <c r="S635" s="19"/>
      <c r="T635" s="31" t="s">
        <v>1473</v>
      </c>
      <c r="U635" s="17">
        <v>84.03</v>
      </c>
      <c r="V635" s="15">
        <v>88.64</v>
      </c>
      <c r="W635" s="34">
        <v>86.34</v>
      </c>
    </row>
    <row r="636" spans="19:23" ht="14.25" customHeight="1">
      <c r="S636" s="19"/>
      <c r="T636" s="31" t="s">
        <v>1474</v>
      </c>
      <c r="U636" s="17">
        <v>77.64</v>
      </c>
      <c r="V636" s="15">
        <v>508.93</v>
      </c>
      <c r="W636" s="34">
        <v>293.29000000000002</v>
      </c>
    </row>
    <row r="637" spans="19:23" ht="14.25" customHeight="1">
      <c r="S637" s="19"/>
      <c r="T637" s="31" t="s">
        <v>1475</v>
      </c>
      <c r="U637" s="17">
        <v>52.67</v>
      </c>
      <c r="V637" s="15">
        <v>82.75</v>
      </c>
      <c r="W637" s="34">
        <v>67.709999999999994</v>
      </c>
    </row>
    <row r="638" spans="19:23" ht="14.25" customHeight="1">
      <c r="S638" s="19"/>
      <c r="T638" s="31" t="s">
        <v>1476</v>
      </c>
      <c r="U638" s="17">
        <v>67.84</v>
      </c>
      <c r="V638" s="15">
        <v>83.75</v>
      </c>
      <c r="W638" s="34">
        <v>75.8</v>
      </c>
    </row>
    <row r="639" spans="19:23" ht="14.25" customHeight="1">
      <c r="S639" s="19"/>
      <c r="T639" s="31" t="s">
        <v>1477</v>
      </c>
      <c r="U639" s="17">
        <v>42.48</v>
      </c>
      <c r="V639" s="15">
        <v>124.85</v>
      </c>
      <c r="W639" s="34">
        <v>83.67</v>
      </c>
    </row>
    <row r="640" spans="19:23" ht="14.25" customHeight="1">
      <c r="S640" s="19"/>
      <c r="T640" s="31" t="s">
        <v>1478</v>
      </c>
      <c r="U640" s="17">
        <v>75.64</v>
      </c>
      <c r="V640" s="15">
        <v>91.22</v>
      </c>
      <c r="W640" s="34">
        <v>83.43</v>
      </c>
    </row>
    <row r="641" spans="19:23" ht="14.25" customHeight="1">
      <c r="S641" s="19"/>
      <c r="T641" s="31" t="s">
        <v>1479</v>
      </c>
      <c r="U641" s="17">
        <v>104.95</v>
      </c>
      <c r="V641" s="15">
        <v>102.39</v>
      </c>
      <c r="W641" s="34">
        <v>103.67</v>
      </c>
    </row>
    <row r="642" spans="19:23" ht="14.25" customHeight="1">
      <c r="S642" s="19"/>
      <c r="T642" s="31" t="s">
        <v>1480</v>
      </c>
      <c r="U642" s="17">
        <v>100.74</v>
      </c>
      <c r="V642" s="15">
        <v>93.91</v>
      </c>
      <c r="W642" s="34">
        <v>97.33</v>
      </c>
    </row>
    <row r="643" spans="19:23" ht="14.25" customHeight="1">
      <c r="S643" s="19"/>
      <c r="T643" s="31" t="s">
        <v>1481</v>
      </c>
      <c r="U643" s="17">
        <v>84.83</v>
      </c>
      <c r="V643" s="15">
        <v>105.28</v>
      </c>
      <c r="W643" s="34">
        <v>95.06</v>
      </c>
    </row>
    <row r="644" spans="19:23" ht="14.25" customHeight="1">
      <c r="S644" s="19"/>
      <c r="T644" s="31" t="s">
        <v>1482</v>
      </c>
      <c r="U644" s="17">
        <v>101.56</v>
      </c>
      <c r="V644" s="15">
        <v>87.12</v>
      </c>
      <c r="W644" s="34">
        <v>94.34</v>
      </c>
    </row>
    <row r="645" spans="19:23" ht="14.25" customHeight="1">
      <c r="S645" s="19"/>
      <c r="T645" s="31" t="s">
        <v>1483</v>
      </c>
      <c r="U645" s="17">
        <v>23.8</v>
      </c>
      <c r="V645" s="15">
        <v>93.81</v>
      </c>
      <c r="W645" s="34">
        <v>58.81</v>
      </c>
    </row>
    <row r="646" spans="19:23" ht="14.25" customHeight="1">
      <c r="S646" s="19"/>
      <c r="T646" s="31" t="s">
        <v>1484</v>
      </c>
      <c r="U646" s="17">
        <v>86.68</v>
      </c>
      <c r="V646" s="15">
        <v>114.61</v>
      </c>
      <c r="W646" s="34">
        <v>100.65</v>
      </c>
    </row>
    <row r="647" spans="19:23" ht="14.25" customHeight="1">
      <c r="S647" s="19"/>
      <c r="T647" s="31" t="s">
        <v>1485</v>
      </c>
      <c r="U647" s="17">
        <v>117.72</v>
      </c>
      <c r="V647" s="15">
        <v>128.24</v>
      </c>
      <c r="W647" s="34">
        <v>122.98</v>
      </c>
    </row>
    <row r="648" spans="19:23" ht="14.25" customHeight="1">
      <c r="S648" s="19"/>
      <c r="T648" s="31" t="s">
        <v>1486</v>
      </c>
      <c r="U648" s="17">
        <v>85</v>
      </c>
      <c r="V648" s="15">
        <v>91.72</v>
      </c>
      <c r="W648" s="34">
        <v>88.36</v>
      </c>
    </row>
    <row r="649" spans="19:23" ht="14.25" customHeight="1">
      <c r="S649" s="19"/>
      <c r="T649" s="31" t="s">
        <v>1487</v>
      </c>
      <c r="U649" s="17">
        <v>99.71</v>
      </c>
      <c r="V649" s="15">
        <v>95.07</v>
      </c>
      <c r="W649" s="34">
        <v>97.39</v>
      </c>
    </row>
    <row r="650" spans="19:23" ht="14.25" customHeight="1">
      <c r="S650" s="19"/>
      <c r="T650" s="31" t="s">
        <v>1488</v>
      </c>
      <c r="U650" s="17">
        <v>86.97</v>
      </c>
      <c r="V650" s="15">
        <v>93.91</v>
      </c>
      <c r="W650" s="34">
        <v>90.44</v>
      </c>
    </row>
    <row r="651" spans="19:23" ht="14.25" customHeight="1">
      <c r="S651" s="19"/>
      <c r="T651" s="31" t="s">
        <v>1489</v>
      </c>
      <c r="U651" s="17">
        <v>129.13999999999999</v>
      </c>
      <c r="V651" s="15">
        <v>101.39</v>
      </c>
      <c r="W651" s="34">
        <v>115.27</v>
      </c>
    </row>
    <row r="652" spans="19:23" ht="14.25" customHeight="1">
      <c r="S652" s="19"/>
      <c r="T652" s="31" t="s">
        <v>1490</v>
      </c>
      <c r="U652" s="17">
        <v>116</v>
      </c>
      <c r="V652" s="15">
        <v>103.96</v>
      </c>
      <c r="W652" s="34">
        <v>109.98</v>
      </c>
    </row>
    <row r="653" spans="19:23" ht="14.25" customHeight="1">
      <c r="S653" s="19"/>
      <c r="T653" s="31" t="s">
        <v>1491</v>
      </c>
      <c r="U653" s="17">
        <v>88.16</v>
      </c>
      <c r="V653" s="15">
        <v>85.34</v>
      </c>
      <c r="W653" s="34">
        <v>86.75</v>
      </c>
    </row>
    <row r="654" spans="19:23" ht="14.25" customHeight="1">
      <c r="S654" s="19"/>
      <c r="T654" s="31" t="s">
        <v>1492</v>
      </c>
      <c r="U654" s="17">
        <v>60.67</v>
      </c>
      <c r="V654" s="15">
        <v>87.61</v>
      </c>
      <c r="W654" s="34">
        <v>74.14</v>
      </c>
    </row>
    <row r="655" spans="19:23" ht="14.25" customHeight="1">
      <c r="S655" s="19"/>
      <c r="T655" s="31" t="s">
        <v>1493</v>
      </c>
      <c r="U655" s="17">
        <v>89.84</v>
      </c>
      <c r="V655" s="15">
        <v>105.32</v>
      </c>
      <c r="W655" s="34">
        <v>97.58</v>
      </c>
    </row>
    <row r="656" spans="19:23" ht="14.25" customHeight="1">
      <c r="S656" s="19"/>
      <c r="T656" s="31" t="s">
        <v>1494</v>
      </c>
      <c r="U656" s="17">
        <v>71.64</v>
      </c>
      <c r="V656" s="15">
        <v>106.78</v>
      </c>
      <c r="W656" s="34">
        <v>89.21</v>
      </c>
    </row>
    <row r="657" spans="19:23" ht="14.25" customHeight="1">
      <c r="S657" s="19"/>
      <c r="T657" s="31" t="s">
        <v>1495</v>
      </c>
      <c r="U657" s="17">
        <v>100.74</v>
      </c>
      <c r="V657" s="15">
        <v>106.27</v>
      </c>
      <c r="W657" s="34">
        <v>103.51</v>
      </c>
    </row>
    <row r="658" spans="19:23" ht="14.25" customHeight="1">
      <c r="S658" s="19"/>
      <c r="T658" s="31" t="s">
        <v>1496</v>
      </c>
      <c r="U658" s="17">
        <v>61.92</v>
      </c>
      <c r="V658" s="15">
        <v>105.12</v>
      </c>
      <c r="W658" s="34">
        <v>83.52</v>
      </c>
    </row>
    <row r="659" spans="19:23" ht="14.25" customHeight="1">
      <c r="S659" s="19"/>
      <c r="T659" s="31" t="s">
        <v>1497</v>
      </c>
      <c r="U659" s="17">
        <v>80.040000000000006</v>
      </c>
      <c r="V659" s="15">
        <v>99.88</v>
      </c>
      <c r="W659" s="34">
        <v>89.96</v>
      </c>
    </row>
    <row r="660" spans="19:23" ht="14.25" customHeight="1">
      <c r="S660" s="19"/>
      <c r="T660" s="31" t="s">
        <v>1498</v>
      </c>
      <c r="U660" s="17">
        <v>75.680000000000007</v>
      </c>
      <c r="V660" s="15">
        <v>84.62</v>
      </c>
      <c r="W660" s="34">
        <v>80.150000000000006</v>
      </c>
    </row>
    <row r="661" spans="19:23" ht="14.25" customHeight="1">
      <c r="S661" s="19"/>
      <c r="T661" s="31" t="s">
        <v>1499</v>
      </c>
      <c r="U661" s="17">
        <v>100.62</v>
      </c>
      <c r="V661" s="15">
        <v>102.94</v>
      </c>
      <c r="W661" s="34">
        <v>101.78</v>
      </c>
    </row>
    <row r="662" spans="19:23" ht="14.25" customHeight="1">
      <c r="S662" s="19"/>
      <c r="T662" s="31" t="s">
        <v>1500</v>
      </c>
      <c r="U662" s="17">
        <v>99.34</v>
      </c>
      <c r="V662" s="15">
        <v>95.81</v>
      </c>
      <c r="W662" s="34">
        <v>97.58</v>
      </c>
    </row>
    <row r="663" spans="19:23" ht="14.25" customHeight="1">
      <c r="S663" s="19"/>
      <c r="T663" s="31" t="s">
        <v>1501</v>
      </c>
      <c r="U663" s="17">
        <v>74.08</v>
      </c>
      <c r="V663" s="15">
        <v>90.16</v>
      </c>
      <c r="W663" s="34">
        <v>82.12</v>
      </c>
    </row>
    <row r="664" spans="19:23" ht="14.25" customHeight="1">
      <c r="S664" s="19"/>
      <c r="T664" s="31" t="s">
        <v>1502</v>
      </c>
      <c r="U664" s="17">
        <v>73</v>
      </c>
      <c r="V664" s="15">
        <v>96.62</v>
      </c>
      <c r="W664" s="34">
        <v>84.81</v>
      </c>
    </row>
    <row r="665" spans="19:23" ht="14.25" customHeight="1">
      <c r="S665" s="19"/>
      <c r="T665" s="31" t="s">
        <v>1503</v>
      </c>
      <c r="U665" s="17">
        <v>100.49</v>
      </c>
      <c r="V665" s="15">
        <v>103.32</v>
      </c>
      <c r="W665" s="34">
        <v>101.91</v>
      </c>
    </row>
    <row r="666" spans="19:23" ht="14.25" customHeight="1">
      <c r="S666" s="19"/>
      <c r="T666" s="31" t="s">
        <v>1504</v>
      </c>
      <c r="U666" s="17">
        <v>121.72</v>
      </c>
      <c r="V666" s="15">
        <v>106.37</v>
      </c>
      <c r="W666" s="34">
        <v>114.05</v>
      </c>
    </row>
    <row r="667" spans="19:23" ht="14.25" customHeight="1">
      <c r="S667" s="19"/>
      <c r="T667" s="39" t="s">
        <v>1505</v>
      </c>
      <c r="U667" s="17">
        <v>86.57</v>
      </c>
      <c r="V667" s="15">
        <v>93.92</v>
      </c>
      <c r="W667" s="34">
        <v>90.25</v>
      </c>
    </row>
    <row r="668" spans="19:23" ht="14.25" customHeight="1">
      <c r="S668" s="19"/>
      <c r="T668" s="31" t="s">
        <v>1506</v>
      </c>
      <c r="U668" s="17">
        <v>119.75</v>
      </c>
      <c r="V668" s="15">
        <v>114.15</v>
      </c>
      <c r="W668" s="34">
        <v>116.95</v>
      </c>
    </row>
    <row r="669" spans="19:23" ht="14.25" customHeight="1">
      <c r="S669" s="19"/>
      <c r="T669" s="31" t="s">
        <v>1507</v>
      </c>
      <c r="U669" s="17">
        <v>119.25</v>
      </c>
      <c r="V669" s="15">
        <v>97.86</v>
      </c>
      <c r="W669" s="34">
        <v>108.56</v>
      </c>
    </row>
    <row r="670" spans="19:23" ht="14.25" customHeight="1">
      <c r="S670" s="19"/>
      <c r="T670" s="31" t="s">
        <v>1508</v>
      </c>
      <c r="U670" s="17">
        <v>42.61</v>
      </c>
      <c r="V670" s="15">
        <v>111.42</v>
      </c>
      <c r="W670" s="34">
        <v>77.02</v>
      </c>
    </row>
    <row r="671" spans="19:23" ht="14.25" customHeight="1">
      <c r="S671" s="19"/>
      <c r="T671" s="31" t="s">
        <v>1509</v>
      </c>
      <c r="U671" s="17">
        <v>112.86</v>
      </c>
      <c r="V671" s="15">
        <v>107.14</v>
      </c>
      <c r="W671" s="34">
        <v>110</v>
      </c>
    </row>
    <row r="672" spans="19:23" ht="14.25" customHeight="1">
      <c r="S672" s="19"/>
      <c r="T672" s="31" t="s">
        <v>1510</v>
      </c>
      <c r="U672" s="17">
        <v>61.26</v>
      </c>
      <c r="V672" s="15">
        <v>108.81</v>
      </c>
      <c r="W672" s="34">
        <v>85.04</v>
      </c>
    </row>
    <row r="673" spans="19:23" ht="14.25" customHeight="1">
      <c r="S673" s="19"/>
      <c r="T673" s="31" t="s">
        <v>1511</v>
      </c>
      <c r="U673" s="17">
        <v>90.05</v>
      </c>
      <c r="V673" s="15">
        <v>96.1</v>
      </c>
      <c r="W673" s="34">
        <v>93.08</v>
      </c>
    </row>
    <row r="674" spans="19:23" ht="14.25" customHeight="1">
      <c r="S674" s="19"/>
      <c r="T674" s="31" t="s">
        <v>1512</v>
      </c>
      <c r="U674" s="17">
        <v>83.64</v>
      </c>
      <c r="V674" s="15">
        <v>109.06</v>
      </c>
      <c r="W674" s="34">
        <v>96.35</v>
      </c>
    </row>
    <row r="675" spans="19:23" ht="14.25" customHeight="1">
      <c r="S675" s="19"/>
      <c r="T675" s="31" t="s">
        <v>1513</v>
      </c>
      <c r="U675" s="17">
        <v>104.28</v>
      </c>
      <c r="V675" s="15">
        <v>98.97</v>
      </c>
      <c r="W675" s="34">
        <v>101.63</v>
      </c>
    </row>
    <row r="676" spans="19:23" ht="14.25" customHeight="1">
      <c r="S676" s="19"/>
      <c r="T676" s="31" t="s">
        <v>1514</v>
      </c>
      <c r="U676" s="17">
        <v>56.63</v>
      </c>
      <c r="V676" s="15">
        <v>83.52</v>
      </c>
      <c r="W676" s="34">
        <v>70.08</v>
      </c>
    </row>
    <row r="677" spans="19:23" ht="14.25" customHeight="1">
      <c r="S677" s="19"/>
      <c r="T677" s="31" t="s">
        <v>1515</v>
      </c>
      <c r="U677" s="17">
        <v>72.36</v>
      </c>
      <c r="V677" s="15">
        <v>95.08</v>
      </c>
      <c r="W677" s="34">
        <v>83.72</v>
      </c>
    </row>
    <row r="678" spans="19:23" ht="14.25" customHeight="1">
      <c r="S678" s="19"/>
      <c r="T678" s="31" t="s">
        <v>1516</v>
      </c>
      <c r="U678" s="17">
        <v>90.66</v>
      </c>
      <c r="V678" s="15">
        <v>102.02</v>
      </c>
      <c r="W678" s="34">
        <v>96.34</v>
      </c>
    </row>
    <row r="679" spans="19:23" ht="14.25" customHeight="1">
      <c r="S679" s="19"/>
      <c r="T679" s="31" t="s">
        <v>1517</v>
      </c>
      <c r="U679" s="17">
        <v>91.63</v>
      </c>
      <c r="V679" s="15">
        <v>107.81</v>
      </c>
      <c r="W679" s="34">
        <v>99.72</v>
      </c>
    </row>
    <row r="680" spans="19:23" ht="14.25" customHeight="1">
      <c r="S680" s="19"/>
      <c r="T680" s="31" t="s">
        <v>1518</v>
      </c>
      <c r="U680" s="17">
        <v>121.8</v>
      </c>
      <c r="V680" s="15">
        <v>94.67</v>
      </c>
      <c r="W680" s="34">
        <v>108.24</v>
      </c>
    </row>
    <row r="681" spans="19:23" ht="14.25" customHeight="1">
      <c r="S681" s="19"/>
      <c r="T681" s="31" t="s">
        <v>1519</v>
      </c>
      <c r="U681" s="17">
        <v>117.03</v>
      </c>
      <c r="V681" s="15">
        <v>128.26</v>
      </c>
      <c r="W681" s="34">
        <v>122.65</v>
      </c>
    </row>
    <row r="682" spans="19:23" ht="14.25" customHeight="1">
      <c r="S682" s="19"/>
      <c r="T682" s="31" t="s">
        <v>1520</v>
      </c>
      <c r="U682" s="17">
        <v>103.46</v>
      </c>
      <c r="V682" s="15">
        <v>137.66</v>
      </c>
      <c r="W682" s="34">
        <v>120.56</v>
      </c>
    </row>
    <row r="683" spans="19:23" ht="14.25" customHeight="1">
      <c r="S683" s="19"/>
      <c r="T683" s="31" t="s">
        <v>1521</v>
      </c>
      <c r="U683" s="17">
        <v>86.63</v>
      </c>
      <c r="V683" s="15">
        <v>96.65</v>
      </c>
      <c r="W683" s="34">
        <v>91.64</v>
      </c>
    </row>
    <row r="684" spans="19:23" ht="14.25" customHeight="1">
      <c r="S684" s="19"/>
      <c r="T684" s="31" t="s">
        <v>1522</v>
      </c>
      <c r="U684" s="17">
        <v>87.61</v>
      </c>
      <c r="V684" s="15">
        <v>88.28</v>
      </c>
      <c r="W684" s="34">
        <v>87.95</v>
      </c>
    </row>
    <row r="685" spans="19:23" ht="14.25" customHeight="1">
      <c r="S685" s="19"/>
      <c r="T685" s="31" t="s">
        <v>1523</v>
      </c>
      <c r="U685" s="17">
        <v>119.8</v>
      </c>
      <c r="V685" s="15">
        <v>103.84</v>
      </c>
      <c r="W685" s="34">
        <v>111.82</v>
      </c>
    </row>
    <row r="686" spans="19:23" ht="14.25" customHeight="1">
      <c r="S686" s="19"/>
      <c r="T686" s="31" t="s">
        <v>1524</v>
      </c>
      <c r="U686" s="17">
        <v>90.63</v>
      </c>
      <c r="V686" s="15">
        <v>89.55</v>
      </c>
      <c r="W686" s="34">
        <v>90.09</v>
      </c>
    </row>
    <row r="687" spans="19:23" ht="14.25" customHeight="1">
      <c r="S687" s="19"/>
      <c r="T687" s="31" t="s">
        <v>1525</v>
      </c>
      <c r="U687" s="17">
        <v>126.05</v>
      </c>
      <c r="V687" s="15">
        <v>134.44999999999999</v>
      </c>
      <c r="W687" s="34">
        <v>130.25</v>
      </c>
    </row>
    <row r="688" spans="19:23" ht="14.25" customHeight="1">
      <c r="S688" s="19"/>
      <c r="T688" s="31" t="s">
        <v>1526</v>
      </c>
      <c r="U688" s="17">
        <v>92.63</v>
      </c>
      <c r="V688" s="15">
        <v>93.13</v>
      </c>
      <c r="W688" s="34">
        <v>92.88</v>
      </c>
    </row>
    <row r="689" spans="19:23" ht="14.25" customHeight="1">
      <c r="S689" s="19"/>
      <c r="T689" s="31" t="s">
        <v>1527</v>
      </c>
      <c r="U689" s="17">
        <v>67.099999999999994</v>
      </c>
      <c r="V689" s="15">
        <v>103.73</v>
      </c>
      <c r="W689" s="34">
        <v>85.42</v>
      </c>
    </row>
    <row r="690" spans="19:23" ht="14.25" customHeight="1">
      <c r="S690" s="19"/>
      <c r="T690" s="31" t="s">
        <v>1528</v>
      </c>
      <c r="U690" s="17">
        <v>69.489999999999995</v>
      </c>
      <c r="V690" s="15">
        <v>104</v>
      </c>
      <c r="W690" s="34">
        <v>86.75</v>
      </c>
    </row>
    <row r="691" spans="19:23" ht="14.25" customHeight="1">
      <c r="S691" s="19"/>
      <c r="T691" s="31" t="s">
        <v>1529</v>
      </c>
      <c r="U691" s="17">
        <v>110.59</v>
      </c>
      <c r="V691" s="15">
        <v>101.73</v>
      </c>
      <c r="W691" s="34">
        <v>106.16</v>
      </c>
    </row>
    <row r="692" spans="19:23" ht="14.25" customHeight="1">
      <c r="S692" s="19"/>
      <c r="T692" s="31" t="s">
        <v>1530</v>
      </c>
      <c r="U692" s="17">
        <v>64.45</v>
      </c>
      <c r="V692" s="15">
        <v>107.97</v>
      </c>
      <c r="W692" s="34">
        <v>86.21</v>
      </c>
    </row>
    <row r="693" spans="19:23" ht="14.25" customHeight="1">
      <c r="S693" s="19"/>
      <c r="T693" s="31" t="s">
        <v>1531</v>
      </c>
      <c r="U693" s="17">
        <v>92.16</v>
      </c>
      <c r="V693" s="15">
        <v>114.83</v>
      </c>
      <c r="W693" s="34">
        <v>103.5</v>
      </c>
    </row>
    <row r="694" spans="19:23" ht="14.25" customHeight="1">
      <c r="S694" s="19"/>
      <c r="T694" s="31" t="s">
        <v>1532</v>
      </c>
      <c r="U694" s="17">
        <v>71.400000000000006</v>
      </c>
      <c r="V694" s="15">
        <v>94.7</v>
      </c>
      <c r="W694" s="34">
        <v>83.05</v>
      </c>
    </row>
    <row r="695" spans="19:23" ht="14.25" customHeight="1">
      <c r="S695" s="19"/>
      <c r="T695" s="31" t="s">
        <v>1533</v>
      </c>
      <c r="U695" s="17">
        <v>76.81</v>
      </c>
      <c r="V695" s="15">
        <v>88.7</v>
      </c>
      <c r="W695" s="34">
        <v>82.76</v>
      </c>
    </row>
    <row r="696" spans="19:23" ht="14.25" customHeight="1">
      <c r="S696" s="19"/>
      <c r="T696" s="31" t="s">
        <v>1534</v>
      </c>
      <c r="U696" s="17">
        <v>64.459999999999994</v>
      </c>
      <c r="V696" s="15">
        <v>95.88</v>
      </c>
      <c r="W696" s="34">
        <v>80.17</v>
      </c>
    </row>
    <row r="697" spans="19:23" ht="14.25" customHeight="1">
      <c r="S697" s="19"/>
      <c r="T697" s="31" t="s">
        <v>1535</v>
      </c>
      <c r="U697" s="17">
        <v>80.41</v>
      </c>
      <c r="V697" s="15">
        <v>116.02</v>
      </c>
      <c r="W697" s="34">
        <v>98.22</v>
      </c>
    </row>
    <row r="698" spans="19:23" ht="14.25" customHeight="1">
      <c r="S698" s="19"/>
      <c r="T698" s="31" t="s">
        <v>1536</v>
      </c>
      <c r="U698" s="17">
        <v>134.63</v>
      </c>
      <c r="V698" s="15">
        <v>137.76</v>
      </c>
      <c r="W698" s="34">
        <v>136.19999999999999</v>
      </c>
    </row>
    <row r="699" spans="19:23" ht="14.25" customHeight="1">
      <c r="S699" s="19"/>
      <c r="T699" s="31" t="s">
        <v>1537</v>
      </c>
      <c r="U699" s="17">
        <v>90.56</v>
      </c>
      <c r="V699" s="15">
        <v>113.09</v>
      </c>
      <c r="W699" s="34">
        <v>101.83</v>
      </c>
    </row>
    <row r="700" spans="19:23" ht="14.25" customHeight="1">
      <c r="S700" s="19"/>
      <c r="T700" s="39" t="s">
        <v>1538</v>
      </c>
      <c r="U700" s="17">
        <v>91.51</v>
      </c>
      <c r="V700" s="15">
        <v>145.5</v>
      </c>
      <c r="W700" s="34">
        <v>118.51</v>
      </c>
    </row>
    <row r="701" spans="19:23" ht="14.25" customHeight="1">
      <c r="S701" s="19"/>
      <c r="T701" s="31" t="s">
        <v>1539</v>
      </c>
      <c r="U701" s="17">
        <v>87.12</v>
      </c>
      <c r="V701" s="15">
        <v>71.52</v>
      </c>
      <c r="W701" s="34">
        <v>79.319999999999993</v>
      </c>
    </row>
    <row r="702" spans="19:23" ht="14.25" customHeight="1">
      <c r="S702" s="19"/>
      <c r="T702" s="31" t="s">
        <v>1540</v>
      </c>
      <c r="U702" s="17">
        <v>50.64</v>
      </c>
      <c r="V702" s="15">
        <v>282.88</v>
      </c>
      <c r="W702" s="34">
        <v>166.76</v>
      </c>
    </row>
    <row r="703" spans="19:23" ht="14.25" customHeight="1">
      <c r="S703" s="19"/>
      <c r="T703" s="31" t="s">
        <v>1541</v>
      </c>
      <c r="U703" s="17">
        <v>96.62</v>
      </c>
      <c r="V703" s="15">
        <v>110.77</v>
      </c>
      <c r="W703" s="34">
        <v>103.7</v>
      </c>
    </row>
    <row r="704" spans="19:23" ht="14.25" customHeight="1">
      <c r="S704" s="19"/>
      <c r="T704" s="31" t="s">
        <v>1542</v>
      </c>
      <c r="U704" s="17">
        <v>112.13</v>
      </c>
      <c r="V704" s="15">
        <v>86.57</v>
      </c>
      <c r="W704" s="34">
        <v>99.35</v>
      </c>
    </row>
    <row r="705" spans="19:23" ht="14.25" customHeight="1">
      <c r="S705" s="19"/>
      <c r="T705" s="31" t="s">
        <v>1543</v>
      </c>
      <c r="U705" s="17">
        <v>63.9</v>
      </c>
      <c r="V705" s="15">
        <v>117.74</v>
      </c>
      <c r="W705" s="34">
        <v>90.82</v>
      </c>
    </row>
    <row r="706" spans="19:23" ht="14.25" customHeight="1">
      <c r="S706" s="19"/>
      <c r="T706" s="39" t="s">
        <v>1544</v>
      </c>
      <c r="U706" s="17">
        <v>30.22</v>
      </c>
      <c r="V706" s="15">
        <v>85.39</v>
      </c>
      <c r="W706" s="34">
        <v>57.81</v>
      </c>
    </row>
    <row r="707" spans="19:23" ht="14.25" customHeight="1">
      <c r="S707" s="19"/>
      <c r="T707" s="31" t="s">
        <v>1545</v>
      </c>
      <c r="U707" s="17">
        <v>77.91</v>
      </c>
      <c r="V707" s="15">
        <v>179.17</v>
      </c>
      <c r="W707" s="34">
        <v>128.54</v>
      </c>
    </row>
    <row r="708" spans="19:23" ht="14.25" customHeight="1">
      <c r="S708" s="19"/>
      <c r="T708" s="31" t="s">
        <v>1546</v>
      </c>
      <c r="U708" s="17">
        <v>112.96</v>
      </c>
      <c r="V708" s="15">
        <v>80.72</v>
      </c>
      <c r="W708" s="34">
        <v>96.84</v>
      </c>
    </row>
    <row r="709" spans="19:23" ht="14.25" customHeight="1">
      <c r="S709" s="19"/>
      <c r="T709" s="31" t="s">
        <v>1547</v>
      </c>
      <c r="U709" s="17">
        <v>78.27</v>
      </c>
      <c r="V709" s="15">
        <v>128.22</v>
      </c>
      <c r="W709" s="34">
        <v>103.25</v>
      </c>
    </row>
    <row r="710" spans="19:23" ht="14.25" customHeight="1">
      <c r="S710" s="19"/>
      <c r="T710" s="31" t="s">
        <v>1548</v>
      </c>
      <c r="U710" s="17">
        <v>90.4</v>
      </c>
      <c r="V710" s="15">
        <v>100.36</v>
      </c>
      <c r="W710" s="34">
        <v>95.38</v>
      </c>
    </row>
    <row r="711" spans="19:23" ht="14.25" customHeight="1">
      <c r="S711" s="19"/>
      <c r="T711" s="31" t="s">
        <v>1549</v>
      </c>
      <c r="U711" s="17">
        <v>103.19</v>
      </c>
      <c r="V711" s="15">
        <v>114.79</v>
      </c>
      <c r="W711" s="34">
        <v>108.99</v>
      </c>
    </row>
    <row r="712" spans="19:23" ht="14.25" customHeight="1">
      <c r="S712" s="19"/>
      <c r="T712" s="31" t="s">
        <v>1550</v>
      </c>
      <c r="U712" s="17">
        <v>111.18</v>
      </c>
      <c r="V712" s="15">
        <v>108.66</v>
      </c>
      <c r="W712" s="34">
        <v>109.92</v>
      </c>
    </row>
    <row r="713" spans="19:23" ht="14.25" customHeight="1">
      <c r="S713" s="19"/>
      <c r="T713" s="31" t="s">
        <v>1551</v>
      </c>
      <c r="U713" s="17">
        <v>94.27</v>
      </c>
      <c r="V713" s="15">
        <v>114.64</v>
      </c>
      <c r="W713" s="34">
        <v>104.46</v>
      </c>
    </row>
    <row r="714" spans="19:23" ht="14.25" customHeight="1">
      <c r="S714" s="19"/>
      <c r="T714" s="31" t="s">
        <v>1552</v>
      </c>
      <c r="U714" s="17">
        <v>110.98</v>
      </c>
      <c r="V714" s="15">
        <v>96.47</v>
      </c>
      <c r="W714" s="34">
        <v>103.73</v>
      </c>
    </row>
    <row r="715" spans="19:23" ht="14.25" customHeight="1">
      <c r="S715" s="19"/>
      <c r="T715" s="31" t="s">
        <v>1553</v>
      </c>
      <c r="U715" s="17">
        <v>60.37</v>
      </c>
      <c r="V715" s="15">
        <v>95.56</v>
      </c>
      <c r="W715" s="34">
        <v>77.97</v>
      </c>
    </row>
    <row r="716" spans="19:23" ht="14.25" customHeight="1">
      <c r="S716" s="19"/>
      <c r="T716" s="31" t="s">
        <v>1554</v>
      </c>
      <c r="U716" s="17">
        <v>87.2</v>
      </c>
      <c r="V716" s="15">
        <v>106.85</v>
      </c>
      <c r="W716" s="34">
        <v>97.03</v>
      </c>
    </row>
    <row r="717" spans="19:23" ht="14.25" customHeight="1">
      <c r="S717" s="19"/>
      <c r="T717" s="31" t="s">
        <v>1555</v>
      </c>
      <c r="U717" s="17">
        <v>117.89</v>
      </c>
      <c r="V717" s="15">
        <v>126.66</v>
      </c>
      <c r="W717" s="34">
        <v>122.28</v>
      </c>
    </row>
    <row r="718" spans="19:23" ht="14.25" customHeight="1">
      <c r="S718" s="19"/>
      <c r="T718" s="31" t="s">
        <v>1556</v>
      </c>
      <c r="U718" s="17">
        <v>65.2</v>
      </c>
      <c r="V718" s="15">
        <v>103.38</v>
      </c>
      <c r="W718" s="34">
        <v>84.29</v>
      </c>
    </row>
    <row r="719" spans="19:23" ht="14.25" customHeight="1">
      <c r="S719" s="19"/>
      <c r="T719" s="31" t="s">
        <v>1557</v>
      </c>
      <c r="U719" s="17">
        <v>53.46</v>
      </c>
      <c r="V719" s="15">
        <v>115.32</v>
      </c>
      <c r="W719" s="34">
        <v>84.39</v>
      </c>
    </row>
    <row r="720" spans="19:23" ht="14.25" customHeight="1">
      <c r="S720" s="19"/>
      <c r="T720" s="31" t="s">
        <v>1558</v>
      </c>
      <c r="U720" s="17">
        <v>91.45</v>
      </c>
      <c r="V720" s="15">
        <v>83.23</v>
      </c>
      <c r="W720" s="34">
        <v>87.34</v>
      </c>
    </row>
    <row r="721" spans="19:23" ht="14.25" customHeight="1">
      <c r="S721" s="19"/>
      <c r="T721" s="31" t="s">
        <v>1559</v>
      </c>
      <c r="U721" s="17">
        <v>126.6</v>
      </c>
      <c r="V721" s="15">
        <v>124</v>
      </c>
      <c r="W721" s="34">
        <v>125.3</v>
      </c>
    </row>
    <row r="722" spans="19:23" ht="14.25" customHeight="1">
      <c r="S722" s="19"/>
      <c r="T722" s="31" t="s">
        <v>1560</v>
      </c>
      <c r="U722" s="17">
        <v>86.12</v>
      </c>
      <c r="V722" s="15">
        <v>88.81</v>
      </c>
      <c r="W722" s="34">
        <v>87.47</v>
      </c>
    </row>
    <row r="723" spans="19:23" ht="14.25" customHeight="1">
      <c r="S723" s="19"/>
      <c r="T723" s="39" t="s">
        <v>1561</v>
      </c>
      <c r="U723" s="17">
        <v>103.22</v>
      </c>
      <c r="V723" s="15">
        <v>102.62</v>
      </c>
      <c r="W723" s="34">
        <v>102.92</v>
      </c>
    </row>
    <row r="724" spans="19:23" ht="14.25" customHeight="1">
      <c r="S724" s="19"/>
      <c r="T724" s="31" t="s">
        <v>1562</v>
      </c>
      <c r="U724" s="17">
        <v>23.2</v>
      </c>
      <c r="V724" s="15">
        <v>128.13</v>
      </c>
      <c r="W724" s="34">
        <v>75.67</v>
      </c>
    </row>
    <row r="725" spans="19:23" ht="14.25" customHeight="1">
      <c r="S725" s="19"/>
      <c r="T725" s="31" t="s">
        <v>1563</v>
      </c>
      <c r="U725" s="17">
        <v>86.06</v>
      </c>
      <c r="V725" s="15">
        <v>85.95</v>
      </c>
      <c r="W725" s="34">
        <v>86.01</v>
      </c>
    </row>
    <row r="726" spans="19:23" ht="14.25" customHeight="1">
      <c r="S726" s="19"/>
      <c r="T726" s="31" t="s">
        <v>1564</v>
      </c>
      <c r="U726" s="17">
        <v>99.68</v>
      </c>
      <c r="V726" s="15">
        <v>82.19</v>
      </c>
      <c r="W726" s="34">
        <v>90.94</v>
      </c>
    </row>
    <row r="727" spans="19:23" ht="14.25" customHeight="1">
      <c r="S727" s="19"/>
      <c r="T727" s="31" t="s">
        <v>1565</v>
      </c>
      <c r="U727" s="17">
        <v>91.75</v>
      </c>
      <c r="V727" s="15">
        <v>97.67</v>
      </c>
      <c r="W727" s="34">
        <v>94.71</v>
      </c>
    </row>
    <row r="728" spans="19:23" ht="14.25" customHeight="1">
      <c r="S728" s="19"/>
      <c r="T728" s="31" t="s">
        <v>1566</v>
      </c>
      <c r="U728" s="17">
        <v>54.72</v>
      </c>
      <c r="V728" s="15">
        <v>119.78</v>
      </c>
      <c r="W728" s="34">
        <v>87.25</v>
      </c>
    </row>
    <row r="729" spans="19:23" ht="14.25" customHeight="1">
      <c r="S729" s="19"/>
      <c r="T729" s="31" t="s">
        <v>1567</v>
      </c>
      <c r="U729" s="17">
        <v>86.64</v>
      </c>
      <c r="V729" s="15">
        <v>112.32</v>
      </c>
      <c r="W729" s="34">
        <v>99.48</v>
      </c>
    </row>
    <row r="730" spans="19:23" ht="14.25" customHeight="1">
      <c r="S730" s="19"/>
      <c r="T730" s="31" t="s">
        <v>1568</v>
      </c>
      <c r="U730" s="17">
        <v>71.47</v>
      </c>
      <c r="V730" s="15">
        <v>115.81</v>
      </c>
      <c r="W730" s="34">
        <v>93.64</v>
      </c>
    </row>
    <row r="731" spans="19:23" ht="14.25" customHeight="1">
      <c r="S731" s="19"/>
      <c r="T731" s="31" t="s">
        <v>1569</v>
      </c>
      <c r="U731" s="17">
        <v>72.400000000000006</v>
      </c>
      <c r="V731" s="15">
        <v>88.42</v>
      </c>
      <c r="W731" s="34">
        <v>80.41</v>
      </c>
    </row>
    <row r="732" spans="19:23" ht="14.25" customHeight="1">
      <c r="S732" s="19"/>
      <c r="T732" s="31" t="s">
        <v>1570</v>
      </c>
      <c r="U732" s="17">
        <v>105.03</v>
      </c>
      <c r="V732" s="15">
        <v>84.61</v>
      </c>
      <c r="W732" s="34">
        <v>94.82</v>
      </c>
    </row>
    <row r="733" spans="19:23" ht="14.25" customHeight="1">
      <c r="S733" s="19"/>
      <c r="T733" s="31" t="s">
        <v>1571</v>
      </c>
      <c r="U733" s="17">
        <v>101.12</v>
      </c>
      <c r="V733" s="15">
        <v>89.83</v>
      </c>
      <c r="W733" s="34">
        <v>95.48</v>
      </c>
    </row>
    <row r="734" spans="19:23" ht="14.25" customHeight="1">
      <c r="S734" s="19"/>
      <c r="T734" s="31" t="s">
        <v>1572</v>
      </c>
      <c r="U734" s="17">
        <v>105.43</v>
      </c>
      <c r="V734" s="15">
        <v>119.31</v>
      </c>
      <c r="W734" s="34">
        <v>112.37</v>
      </c>
    </row>
    <row r="735" spans="19:23" ht="14.25" customHeight="1">
      <c r="S735" s="19"/>
      <c r="T735" s="31" t="s">
        <v>1573</v>
      </c>
      <c r="U735" s="17">
        <v>99.56</v>
      </c>
      <c r="V735" s="15">
        <v>110.9</v>
      </c>
      <c r="W735" s="34">
        <v>105.23</v>
      </c>
    </row>
    <row r="736" spans="19:23" ht="14.25" customHeight="1">
      <c r="S736" s="19"/>
      <c r="T736" s="31" t="s">
        <v>1574</v>
      </c>
      <c r="U736" s="17">
        <v>50.8</v>
      </c>
      <c r="V736" s="15">
        <v>139.61000000000001</v>
      </c>
      <c r="W736" s="34">
        <v>95.21</v>
      </c>
    </row>
    <row r="737" spans="19:23" ht="14.25" customHeight="1">
      <c r="S737" s="19"/>
      <c r="T737" s="31" t="s">
        <v>1575</v>
      </c>
      <c r="U737" s="17">
        <v>71.84</v>
      </c>
      <c r="V737" s="15">
        <v>97.92</v>
      </c>
      <c r="W737" s="34">
        <v>84.88</v>
      </c>
    </row>
    <row r="738" spans="19:23" ht="14.25" customHeight="1">
      <c r="S738" s="19"/>
      <c r="T738" s="31" t="s">
        <v>1576</v>
      </c>
      <c r="U738" s="17">
        <v>87.6</v>
      </c>
      <c r="V738" s="15">
        <v>102.47</v>
      </c>
      <c r="W738" s="34">
        <v>95.04</v>
      </c>
    </row>
    <row r="739" spans="19:23" ht="14.25" customHeight="1">
      <c r="S739" s="19"/>
      <c r="T739" s="31" t="s">
        <v>1577</v>
      </c>
      <c r="U739" s="17">
        <v>96.16</v>
      </c>
      <c r="V739" s="15">
        <v>82.98</v>
      </c>
      <c r="W739" s="34">
        <v>89.57</v>
      </c>
    </row>
    <row r="740" spans="19:23" ht="14.25" customHeight="1">
      <c r="S740" s="19"/>
      <c r="T740" s="31" t="s">
        <v>1578</v>
      </c>
      <c r="U740" s="17">
        <v>46.88</v>
      </c>
      <c r="V740" s="15">
        <v>110.62</v>
      </c>
      <c r="W740" s="34">
        <v>78.75</v>
      </c>
    </row>
    <row r="741" spans="19:23" ht="14.25" customHeight="1">
      <c r="S741" s="19"/>
      <c r="T741" s="31" t="s">
        <v>1579</v>
      </c>
      <c r="U741" s="17">
        <v>75.03</v>
      </c>
      <c r="V741" s="15">
        <v>82.86</v>
      </c>
      <c r="W741" s="34">
        <v>78.95</v>
      </c>
    </row>
    <row r="742" spans="19:23" ht="14.25" customHeight="1">
      <c r="S742" s="19"/>
      <c r="T742" s="31" t="s">
        <v>1580</v>
      </c>
      <c r="U742" s="17">
        <v>60.6</v>
      </c>
      <c r="V742" s="15">
        <v>96.99</v>
      </c>
      <c r="W742" s="34">
        <v>78.8</v>
      </c>
    </row>
    <row r="743" spans="19:23" ht="14.25" customHeight="1">
      <c r="S743" s="19"/>
      <c r="T743" s="31" t="s">
        <v>1581</v>
      </c>
      <c r="U743" s="17">
        <v>64.38</v>
      </c>
      <c r="V743" s="15">
        <v>117.41</v>
      </c>
      <c r="W743" s="34">
        <v>90.9</v>
      </c>
    </row>
    <row r="744" spans="19:23" ht="14.25" customHeight="1">
      <c r="S744" s="19"/>
      <c r="T744" s="31" t="s">
        <v>1582</v>
      </c>
      <c r="U744" s="17">
        <v>74.17</v>
      </c>
      <c r="V744" s="15">
        <v>105.99</v>
      </c>
      <c r="W744" s="34">
        <v>90.08</v>
      </c>
    </row>
    <row r="745" spans="19:23" ht="14.25" customHeight="1">
      <c r="S745" s="19"/>
      <c r="T745" s="31" t="s">
        <v>1583</v>
      </c>
      <c r="U745" s="17">
        <v>59.23</v>
      </c>
      <c r="V745" s="15">
        <v>108.48</v>
      </c>
      <c r="W745" s="34">
        <v>83.86</v>
      </c>
    </row>
    <row r="746" spans="19:23" ht="14.25" customHeight="1">
      <c r="S746" s="19"/>
      <c r="T746" s="31" t="s">
        <v>1584</v>
      </c>
      <c r="U746" s="17">
        <v>93.03</v>
      </c>
      <c r="V746" s="15">
        <v>128.82</v>
      </c>
      <c r="W746" s="34">
        <v>110.93</v>
      </c>
    </row>
    <row r="747" spans="19:23" ht="14.25" customHeight="1">
      <c r="S747" s="19"/>
      <c r="T747" s="31" t="s">
        <v>1585</v>
      </c>
      <c r="U747" s="17">
        <v>88.01</v>
      </c>
      <c r="V747" s="15">
        <v>91.16</v>
      </c>
      <c r="W747" s="34">
        <v>89.59</v>
      </c>
    </row>
    <row r="748" spans="19:23" ht="14.25" customHeight="1">
      <c r="S748" s="19"/>
      <c r="T748" s="31" t="s">
        <v>1586</v>
      </c>
      <c r="U748" s="17">
        <v>93.15</v>
      </c>
      <c r="V748" s="15">
        <v>105.84</v>
      </c>
      <c r="W748" s="34">
        <v>99.5</v>
      </c>
    </row>
    <row r="749" spans="19:23" ht="14.25" customHeight="1">
      <c r="S749" s="19"/>
      <c r="T749" s="31" t="s">
        <v>1587</v>
      </c>
      <c r="U749" s="17">
        <v>78.22</v>
      </c>
      <c r="V749" s="15">
        <v>93.92</v>
      </c>
      <c r="W749" s="34">
        <v>86.07</v>
      </c>
    </row>
    <row r="750" spans="19:23" ht="14.25" customHeight="1">
      <c r="S750" s="19"/>
      <c r="T750" s="31" t="s">
        <v>1588</v>
      </c>
      <c r="U750" s="17">
        <v>89.39</v>
      </c>
      <c r="V750" s="15">
        <v>90.1</v>
      </c>
      <c r="W750" s="34">
        <v>89.75</v>
      </c>
    </row>
    <row r="751" spans="19:23" ht="14.25" customHeight="1">
      <c r="S751" s="19"/>
      <c r="T751" s="31" t="s">
        <v>1589</v>
      </c>
      <c r="U751" s="17">
        <v>62.01</v>
      </c>
      <c r="V751" s="15">
        <v>105.35</v>
      </c>
      <c r="W751" s="34">
        <v>83.68</v>
      </c>
    </row>
    <row r="752" spans="19:23" ht="14.25" customHeight="1">
      <c r="S752" s="19"/>
      <c r="T752" s="31" t="s">
        <v>1590</v>
      </c>
      <c r="U752" s="17">
        <v>96.94</v>
      </c>
      <c r="V752" s="15">
        <v>124.65</v>
      </c>
      <c r="W752" s="34">
        <v>110.8</v>
      </c>
    </row>
    <row r="753" spans="19:23" ht="14.25" customHeight="1">
      <c r="S753" s="19"/>
      <c r="T753" s="31" t="s">
        <v>1591</v>
      </c>
      <c r="U753" s="17">
        <v>65.91</v>
      </c>
      <c r="V753" s="15">
        <v>95.04</v>
      </c>
      <c r="W753" s="34">
        <v>80.48</v>
      </c>
    </row>
    <row r="754" spans="19:23" ht="14.25" customHeight="1">
      <c r="S754" s="19"/>
      <c r="T754" s="31" t="s">
        <v>1592</v>
      </c>
      <c r="U754" s="17">
        <v>88.72</v>
      </c>
      <c r="V754" s="15">
        <v>123.36</v>
      </c>
      <c r="W754" s="34">
        <v>106.04</v>
      </c>
    </row>
    <row r="755" spans="19:23" ht="14.25" customHeight="1">
      <c r="S755" s="19"/>
      <c r="T755" s="31" t="s">
        <v>1593</v>
      </c>
      <c r="U755" s="17">
        <v>79.540000000000006</v>
      </c>
      <c r="V755" s="15">
        <v>105.31</v>
      </c>
      <c r="W755" s="34">
        <v>92.43</v>
      </c>
    </row>
    <row r="756" spans="19:23" ht="14.25" customHeight="1">
      <c r="S756" s="19"/>
      <c r="T756" s="31" t="s">
        <v>1594</v>
      </c>
      <c r="U756" s="17">
        <v>80.48</v>
      </c>
      <c r="V756" s="15">
        <v>94.38</v>
      </c>
      <c r="W756" s="34">
        <v>87.43</v>
      </c>
    </row>
    <row r="757" spans="19:23" ht="14.25" customHeight="1">
      <c r="S757" s="19"/>
      <c r="T757" s="39" t="s">
        <v>1595</v>
      </c>
      <c r="U757" s="17">
        <v>105.51</v>
      </c>
      <c r="V757" s="15">
        <v>107.56</v>
      </c>
      <c r="W757" s="34">
        <v>106.54</v>
      </c>
    </row>
    <row r="758" spans="19:23" ht="14.25" customHeight="1">
      <c r="S758" s="19"/>
      <c r="T758" s="39" t="s">
        <v>1596</v>
      </c>
      <c r="U758" s="17">
        <v>113.9</v>
      </c>
      <c r="V758" s="15">
        <v>158.80000000000001</v>
      </c>
      <c r="W758" s="34">
        <v>136.35</v>
      </c>
    </row>
    <row r="759" spans="19:23" ht="14.25" customHeight="1">
      <c r="S759" s="19"/>
      <c r="T759" s="31" t="s">
        <v>1597</v>
      </c>
      <c r="U759" s="17">
        <v>111.34</v>
      </c>
      <c r="V759" s="15">
        <v>127.17</v>
      </c>
      <c r="W759" s="34">
        <v>119.26</v>
      </c>
    </row>
    <row r="760" spans="19:23" ht="14.25" customHeight="1">
      <c r="S760" s="19"/>
      <c r="T760" s="39" t="s">
        <v>1598</v>
      </c>
      <c r="U760" s="17">
        <v>66.209999999999994</v>
      </c>
      <c r="V760" s="15">
        <v>101.59</v>
      </c>
      <c r="W760" s="34">
        <v>83.9</v>
      </c>
    </row>
    <row r="761" spans="19:23" ht="14.25" customHeight="1">
      <c r="S761" s="19"/>
      <c r="T761" s="31" t="s">
        <v>1599</v>
      </c>
      <c r="U761" s="17">
        <v>91.77</v>
      </c>
      <c r="V761" s="15">
        <v>98.75</v>
      </c>
      <c r="W761" s="34">
        <v>95.26</v>
      </c>
    </row>
    <row r="762" spans="19:23" ht="14.25" customHeight="1">
      <c r="S762" s="19"/>
      <c r="T762" s="31" t="s">
        <v>1600</v>
      </c>
      <c r="U762" s="17">
        <v>113.33</v>
      </c>
      <c r="V762" s="15">
        <v>87.25</v>
      </c>
      <c r="W762" s="34">
        <v>100.29</v>
      </c>
    </row>
    <row r="763" spans="19:23" ht="14.25" customHeight="1">
      <c r="S763" s="19"/>
      <c r="T763" s="39" t="s">
        <v>1601</v>
      </c>
      <c r="U763" s="17">
        <v>89.78</v>
      </c>
      <c r="V763" s="15">
        <v>151.77000000000001</v>
      </c>
      <c r="W763" s="34">
        <v>120.78</v>
      </c>
    </row>
    <row r="764" spans="19:23" ht="14.25" customHeight="1">
      <c r="S764" s="19"/>
      <c r="T764" s="39" t="s">
        <v>1602</v>
      </c>
      <c r="U764" s="17">
        <v>94.3</v>
      </c>
      <c r="V764" s="15">
        <v>120.58</v>
      </c>
      <c r="W764" s="34">
        <v>107.44</v>
      </c>
    </row>
    <row r="765" spans="19:23" ht="14.25" customHeight="1">
      <c r="S765" s="19"/>
      <c r="T765" s="31" t="s">
        <v>1603</v>
      </c>
      <c r="U765" s="17">
        <v>95.54</v>
      </c>
      <c r="V765" s="15">
        <v>93.67</v>
      </c>
      <c r="W765" s="34">
        <v>94.61</v>
      </c>
    </row>
    <row r="766" spans="19:23" ht="14.25" customHeight="1">
      <c r="S766" s="19"/>
      <c r="T766" s="31" t="s">
        <v>1604</v>
      </c>
      <c r="U766" s="17">
        <v>72.44</v>
      </c>
      <c r="V766" s="15">
        <v>110.73</v>
      </c>
      <c r="W766" s="34">
        <v>91.59</v>
      </c>
    </row>
    <row r="767" spans="19:23" ht="14.25" customHeight="1">
      <c r="S767" s="19"/>
      <c r="T767" s="31" t="s">
        <v>1605</v>
      </c>
      <c r="U767" s="17">
        <v>91.69</v>
      </c>
      <c r="V767" s="15">
        <v>115.52</v>
      </c>
      <c r="W767" s="34">
        <v>103.61</v>
      </c>
    </row>
    <row r="768" spans="19:23" ht="14.25" customHeight="1">
      <c r="S768" s="19"/>
      <c r="T768" s="31" t="s">
        <v>1606</v>
      </c>
      <c r="U768" s="17">
        <v>83.45</v>
      </c>
      <c r="V768" s="15">
        <v>113.18</v>
      </c>
      <c r="W768" s="34">
        <v>98.32</v>
      </c>
    </row>
    <row r="769" spans="19:23" ht="14.25" customHeight="1">
      <c r="S769" s="19"/>
      <c r="T769" s="31" t="s">
        <v>1607</v>
      </c>
      <c r="U769" s="17">
        <v>99.25</v>
      </c>
      <c r="V769" s="15">
        <v>124.98</v>
      </c>
      <c r="W769" s="34">
        <v>112.12</v>
      </c>
    </row>
    <row r="770" spans="19:23" ht="14.25" customHeight="1">
      <c r="S770" s="19"/>
      <c r="T770" s="31" t="s">
        <v>1608</v>
      </c>
      <c r="U770" s="17">
        <v>48.79</v>
      </c>
      <c r="V770" s="15">
        <v>108.44</v>
      </c>
      <c r="W770" s="34">
        <v>78.62</v>
      </c>
    </row>
    <row r="771" spans="19:23" ht="14.25" customHeight="1">
      <c r="S771" s="19"/>
      <c r="T771" s="31" t="s">
        <v>1609</v>
      </c>
      <c r="U771" s="17">
        <v>64.66</v>
      </c>
      <c r="V771" s="15">
        <v>110.64</v>
      </c>
      <c r="W771" s="34">
        <v>87.65</v>
      </c>
    </row>
    <row r="772" spans="19:23" ht="14.25" customHeight="1">
      <c r="S772" s="19"/>
      <c r="T772" s="31" t="s">
        <v>1610</v>
      </c>
      <c r="U772" s="17">
        <v>105.75</v>
      </c>
      <c r="V772" s="15">
        <v>119.79</v>
      </c>
      <c r="W772" s="34">
        <v>112.77</v>
      </c>
    </row>
    <row r="773" spans="19:23" ht="14.25" customHeight="1">
      <c r="S773" s="19"/>
      <c r="T773" s="31" t="s">
        <v>1611</v>
      </c>
      <c r="U773" s="17">
        <v>125.03</v>
      </c>
      <c r="V773" s="15">
        <v>111.32</v>
      </c>
      <c r="W773" s="34">
        <v>118.18</v>
      </c>
    </row>
    <row r="774" spans="19:23" ht="14.25" customHeight="1">
      <c r="S774" s="19"/>
      <c r="T774" s="31" t="s">
        <v>1612</v>
      </c>
      <c r="U774" s="17">
        <v>45.7</v>
      </c>
      <c r="V774" s="15">
        <v>401.23</v>
      </c>
      <c r="W774" s="34">
        <v>223.47</v>
      </c>
    </row>
    <row r="775" spans="19:23" ht="14.25" customHeight="1">
      <c r="S775" s="19"/>
      <c r="T775" s="31" t="s">
        <v>1613</v>
      </c>
      <c r="U775" s="17">
        <v>78.13</v>
      </c>
      <c r="V775" s="15">
        <v>99.66</v>
      </c>
      <c r="W775" s="34">
        <v>88.9</v>
      </c>
    </row>
    <row r="776" spans="19:23" ht="14.25" customHeight="1">
      <c r="S776" s="19"/>
      <c r="T776" s="31" t="s">
        <v>1614</v>
      </c>
      <c r="U776" s="17">
        <v>38.68</v>
      </c>
      <c r="V776" s="15">
        <v>110.3</v>
      </c>
      <c r="W776" s="34">
        <v>74.489999999999995</v>
      </c>
    </row>
    <row r="777" spans="19:23" ht="14.25" customHeight="1">
      <c r="S777" s="19"/>
      <c r="T777" s="39" t="s">
        <v>1615</v>
      </c>
      <c r="U777" s="17">
        <v>62.25</v>
      </c>
      <c r="V777" s="15">
        <v>115.72</v>
      </c>
      <c r="W777" s="34">
        <v>88.99</v>
      </c>
    </row>
    <row r="778" spans="19:23" ht="14.25" customHeight="1">
      <c r="S778" s="19"/>
      <c r="T778" s="31" t="s">
        <v>1616</v>
      </c>
      <c r="U778" s="17">
        <v>97.33</v>
      </c>
      <c r="V778" s="15">
        <v>112.21</v>
      </c>
      <c r="W778" s="34">
        <v>104.77</v>
      </c>
    </row>
    <row r="779" spans="19:23" ht="14.25" customHeight="1">
      <c r="S779" s="19"/>
      <c r="T779" s="31" t="s">
        <v>1617</v>
      </c>
      <c r="U779" s="17">
        <v>68.11</v>
      </c>
      <c r="V779" s="15">
        <v>328.69</v>
      </c>
      <c r="W779" s="34">
        <v>198.4</v>
      </c>
    </row>
    <row r="780" spans="19:23" ht="14.25" customHeight="1">
      <c r="S780" s="19"/>
      <c r="T780" s="31" t="s">
        <v>1618</v>
      </c>
      <c r="U780" s="17">
        <v>101.93</v>
      </c>
      <c r="V780" s="15">
        <v>92.99</v>
      </c>
      <c r="W780" s="34">
        <v>97.46</v>
      </c>
    </row>
    <row r="781" spans="19:23" ht="14.25" customHeight="1">
      <c r="S781" s="19"/>
      <c r="T781" s="31" t="s">
        <v>1619</v>
      </c>
      <c r="U781" s="17">
        <v>109.57</v>
      </c>
      <c r="V781" s="15">
        <v>112.89</v>
      </c>
      <c r="W781" s="34">
        <v>111.23</v>
      </c>
    </row>
    <row r="782" spans="19:23" ht="14.25" customHeight="1">
      <c r="S782" s="19"/>
      <c r="T782" s="31" t="s">
        <v>1620</v>
      </c>
      <c r="U782" s="17">
        <v>164.29</v>
      </c>
      <c r="V782" s="15">
        <v>130.94999999999999</v>
      </c>
      <c r="W782" s="34">
        <v>147.62</v>
      </c>
    </row>
    <row r="783" spans="19:23" ht="14.25" customHeight="1">
      <c r="S783" s="19"/>
      <c r="T783" s="31" t="s">
        <v>1621</v>
      </c>
      <c r="U783" s="17">
        <v>106.08</v>
      </c>
      <c r="V783" s="15">
        <v>105.57</v>
      </c>
      <c r="W783" s="34">
        <v>105.83</v>
      </c>
    </row>
    <row r="784" spans="19:23" ht="14.25" customHeight="1">
      <c r="S784" s="19"/>
      <c r="T784" s="31" t="s">
        <v>1622</v>
      </c>
      <c r="U784" s="17">
        <v>69.81</v>
      </c>
      <c r="V784" s="15">
        <v>100</v>
      </c>
      <c r="W784" s="34">
        <v>84.91</v>
      </c>
    </row>
    <row r="785" spans="19:23" ht="14.25" customHeight="1">
      <c r="S785" s="19"/>
      <c r="T785" s="31" t="s">
        <v>1623</v>
      </c>
      <c r="U785" s="17">
        <v>85.06</v>
      </c>
      <c r="V785" s="15">
        <v>87.13</v>
      </c>
      <c r="W785" s="34">
        <v>86.1</v>
      </c>
    </row>
    <row r="786" spans="19:23" ht="14.25" customHeight="1">
      <c r="S786" s="19"/>
      <c r="T786" s="31" t="s">
        <v>1624</v>
      </c>
      <c r="U786" s="17">
        <v>95.78</v>
      </c>
      <c r="V786" s="15">
        <v>131.24</v>
      </c>
      <c r="W786" s="34">
        <v>113.51</v>
      </c>
    </row>
    <row r="787" spans="19:23" ht="14.25" customHeight="1">
      <c r="S787" s="19"/>
      <c r="T787" s="31" t="s">
        <v>1625</v>
      </c>
      <c r="U787" s="17">
        <v>97.9</v>
      </c>
      <c r="V787" s="15">
        <v>102.76</v>
      </c>
      <c r="W787" s="34">
        <v>100.33</v>
      </c>
    </row>
    <row r="788" spans="19:23" ht="14.25" customHeight="1">
      <c r="S788" s="19"/>
      <c r="T788" s="31" t="s">
        <v>1626</v>
      </c>
      <c r="U788" s="17">
        <v>100.24</v>
      </c>
      <c r="V788" s="15">
        <v>352.64</v>
      </c>
      <c r="W788" s="34">
        <v>226.44</v>
      </c>
    </row>
    <row r="789" spans="19:23" ht="14.25" customHeight="1">
      <c r="S789" s="19"/>
      <c r="T789" s="31" t="s">
        <v>1627</v>
      </c>
      <c r="U789" s="17">
        <v>76.349999999999994</v>
      </c>
      <c r="V789" s="15">
        <v>103.13</v>
      </c>
      <c r="W789" s="34">
        <v>89.74</v>
      </c>
    </row>
    <row r="790" spans="19:23" ht="14.25" customHeight="1">
      <c r="S790" s="19"/>
      <c r="T790" s="31" t="s">
        <v>1628</v>
      </c>
      <c r="U790" s="17">
        <v>106.09</v>
      </c>
      <c r="V790" s="15">
        <v>102.54</v>
      </c>
      <c r="W790" s="34">
        <v>104.32</v>
      </c>
    </row>
    <row r="791" spans="19:23" ht="14.25" customHeight="1">
      <c r="S791" s="19"/>
      <c r="T791" s="31" t="s">
        <v>1629</v>
      </c>
      <c r="U791" s="17">
        <v>86.53</v>
      </c>
      <c r="V791" s="15">
        <v>86.14</v>
      </c>
      <c r="W791" s="34">
        <v>86.34</v>
      </c>
    </row>
    <row r="792" spans="19:23" ht="14.25" customHeight="1">
      <c r="S792" s="19"/>
      <c r="T792" s="31" t="s">
        <v>1630</v>
      </c>
      <c r="U792" s="17">
        <v>85.18</v>
      </c>
      <c r="V792" s="15">
        <v>101.51</v>
      </c>
      <c r="W792" s="34">
        <v>93.35</v>
      </c>
    </row>
    <row r="793" spans="19:23" ht="14.25" customHeight="1">
      <c r="S793" s="19"/>
      <c r="T793" s="31" t="s">
        <v>1631</v>
      </c>
      <c r="U793" s="17">
        <v>74.430000000000007</v>
      </c>
      <c r="V793" s="15">
        <v>112.12</v>
      </c>
      <c r="W793" s="34">
        <v>93.28</v>
      </c>
    </row>
    <row r="794" spans="19:23" ht="14.25" customHeight="1">
      <c r="S794" s="19"/>
      <c r="T794" s="31" t="s">
        <v>1632</v>
      </c>
      <c r="U794" s="17">
        <v>108.44</v>
      </c>
      <c r="V794" s="15">
        <v>106.26</v>
      </c>
      <c r="W794" s="34">
        <v>107.35</v>
      </c>
    </row>
    <row r="795" spans="19:23" ht="14.25" customHeight="1">
      <c r="S795" s="19"/>
      <c r="T795" s="31" t="s">
        <v>1633</v>
      </c>
      <c r="U795" s="17">
        <v>32.97</v>
      </c>
      <c r="V795" s="15">
        <v>109.76</v>
      </c>
      <c r="W795" s="34">
        <v>71.37</v>
      </c>
    </row>
    <row r="796" spans="19:23" ht="14.25" customHeight="1">
      <c r="S796" s="19"/>
      <c r="T796" s="31" t="s">
        <v>1634</v>
      </c>
      <c r="U796" s="17">
        <v>69.430000000000007</v>
      </c>
      <c r="V796" s="15">
        <v>101.74</v>
      </c>
      <c r="W796" s="34">
        <v>85.59</v>
      </c>
    </row>
    <row r="797" spans="19:23" ht="14.25" customHeight="1">
      <c r="S797" s="19"/>
      <c r="T797" s="31" t="s">
        <v>1635</v>
      </c>
      <c r="U797" s="17">
        <v>68.22</v>
      </c>
      <c r="V797" s="15">
        <v>117.32</v>
      </c>
      <c r="W797" s="34">
        <v>92.77</v>
      </c>
    </row>
    <row r="798" spans="19:23" ht="14.25" customHeight="1">
      <c r="S798" s="19"/>
      <c r="T798" s="31" t="s">
        <v>1636</v>
      </c>
      <c r="U798" s="17">
        <v>78.52</v>
      </c>
      <c r="V798" s="15">
        <v>86.58</v>
      </c>
      <c r="W798" s="34">
        <v>82.55</v>
      </c>
    </row>
    <row r="799" spans="19:23" ht="14.25" customHeight="1">
      <c r="S799" s="19"/>
      <c r="T799" s="31" t="s">
        <v>1637</v>
      </c>
      <c r="U799" s="17">
        <v>112.18</v>
      </c>
      <c r="V799" s="15">
        <v>121.29</v>
      </c>
      <c r="W799" s="34">
        <v>116.74</v>
      </c>
    </row>
    <row r="800" spans="19:23" ht="14.25" customHeight="1">
      <c r="S800" s="19"/>
      <c r="T800" s="31" t="s">
        <v>1638</v>
      </c>
      <c r="U800" s="17">
        <v>101.35</v>
      </c>
      <c r="V800" s="15">
        <v>99.26</v>
      </c>
      <c r="W800" s="34">
        <v>100.31</v>
      </c>
    </row>
    <row r="801" spans="19:23" ht="14.25" customHeight="1">
      <c r="S801" s="19"/>
      <c r="T801" s="31" t="s">
        <v>1639</v>
      </c>
      <c r="U801" s="17">
        <v>106.07</v>
      </c>
      <c r="V801" s="15">
        <v>124.88</v>
      </c>
      <c r="W801" s="34">
        <v>115.48</v>
      </c>
    </row>
    <row r="802" spans="19:23" ht="14.25" customHeight="1">
      <c r="S802" s="19"/>
      <c r="T802" s="31" t="s">
        <v>1640</v>
      </c>
      <c r="U802" s="17">
        <v>60.15</v>
      </c>
      <c r="V802" s="15">
        <v>98.75</v>
      </c>
      <c r="W802" s="34">
        <v>79.45</v>
      </c>
    </row>
    <row r="803" spans="19:23" ht="14.25" customHeight="1">
      <c r="S803" s="19"/>
      <c r="T803" s="31" t="s">
        <v>1641</v>
      </c>
      <c r="U803" s="17">
        <v>71.959999999999994</v>
      </c>
      <c r="V803" s="15">
        <v>90.88</v>
      </c>
      <c r="W803" s="34">
        <v>81.42</v>
      </c>
    </row>
    <row r="804" spans="19:23" ht="14.25" customHeight="1">
      <c r="S804" s="19"/>
      <c r="T804" s="31" t="s">
        <v>1642</v>
      </c>
      <c r="U804" s="17">
        <v>40.78</v>
      </c>
      <c r="V804" s="15">
        <v>149.94</v>
      </c>
      <c r="W804" s="34">
        <v>95.36</v>
      </c>
    </row>
    <row r="805" spans="19:23" ht="14.25" customHeight="1">
      <c r="S805" s="19"/>
      <c r="T805" s="31" t="s">
        <v>1643</v>
      </c>
      <c r="U805" s="17">
        <v>53.77</v>
      </c>
      <c r="V805" s="15">
        <v>94.71</v>
      </c>
      <c r="W805" s="34">
        <v>74.239999999999995</v>
      </c>
    </row>
    <row r="806" spans="19:23" ht="14.25" customHeight="1">
      <c r="S806" s="19"/>
      <c r="T806" s="31" t="s">
        <v>1644</v>
      </c>
      <c r="U806" s="17">
        <v>82.51</v>
      </c>
      <c r="V806" s="15">
        <v>98.59</v>
      </c>
      <c r="W806" s="34">
        <v>90.55</v>
      </c>
    </row>
    <row r="807" spans="19:23" ht="14.25" customHeight="1">
      <c r="S807" s="19"/>
      <c r="T807" s="31" t="s">
        <v>1645</v>
      </c>
      <c r="U807" s="17">
        <v>120.4</v>
      </c>
      <c r="V807" s="15">
        <v>88.68</v>
      </c>
      <c r="W807" s="34">
        <v>104.54</v>
      </c>
    </row>
    <row r="808" spans="19:23" ht="14.25" customHeight="1">
      <c r="S808" s="19"/>
      <c r="T808" s="31" t="s">
        <v>1646</v>
      </c>
      <c r="U808" s="17">
        <v>84.37</v>
      </c>
      <c r="V808" s="15">
        <v>92.26</v>
      </c>
      <c r="W808" s="34">
        <v>88.32</v>
      </c>
    </row>
    <row r="809" spans="19:23" ht="14.25" customHeight="1">
      <c r="S809" s="19"/>
      <c r="T809" s="31" t="s">
        <v>1647</v>
      </c>
      <c r="U809" s="17">
        <v>83.07</v>
      </c>
      <c r="V809" s="15">
        <v>100.84</v>
      </c>
      <c r="W809" s="34">
        <v>91.96</v>
      </c>
    </row>
    <row r="810" spans="19:23" ht="14.25" customHeight="1">
      <c r="S810" s="19"/>
      <c r="T810" s="31" t="s">
        <v>1648</v>
      </c>
      <c r="U810" s="17">
        <v>132.63</v>
      </c>
      <c r="V810" s="15">
        <v>111.49</v>
      </c>
      <c r="W810" s="34">
        <v>122.06</v>
      </c>
    </row>
    <row r="811" spans="19:23" ht="14.25" customHeight="1">
      <c r="S811" s="19"/>
      <c r="T811" s="31" t="s">
        <v>1649</v>
      </c>
      <c r="U811" s="17">
        <v>87.82</v>
      </c>
      <c r="V811" s="15">
        <v>101.56</v>
      </c>
      <c r="W811" s="34">
        <v>94.69</v>
      </c>
    </row>
    <row r="812" spans="19:23" ht="14.25" customHeight="1">
      <c r="S812" s="19"/>
      <c r="T812" s="31" t="s">
        <v>1650</v>
      </c>
      <c r="U812" s="17">
        <v>103.01</v>
      </c>
      <c r="V812" s="15">
        <v>92.95</v>
      </c>
      <c r="W812" s="34">
        <v>97.98</v>
      </c>
    </row>
    <row r="813" spans="19:23" ht="14.25" customHeight="1">
      <c r="S813" s="19"/>
      <c r="T813" s="31" t="s">
        <v>1651</v>
      </c>
      <c r="U813" s="17">
        <v>96.32</v>
      </c>
      <c r="V813" s="15">
        <v>133.91999999999999</v>
      </c>
      <c r="W813" s="34">
        <v>115.12</v>
      </c>
    </row>
    <row r="814" spans="19:23" ht="14.25" customHeight="1">
      <c r="S814" s="19"/>
      <c r="T814" s="31" t="s">
        <v>1652</v>
      </c>
      <c r="U814" s="17">
        <v>96.46</v>
      </c>
      <c r="V814" s="15">
        <v>95.37</v>
      </c>
      <c r="W814" s="34">
        <v>95.92</v>
      </c>
    </row>
    <row r="815" spans="19:23" ht="14.25" customHeight="1">
      <c r="S815" s="19"/>
      <c r="T815" s="31" t="s">
        <v>1653</v>
      </c>
      <c r="U815" s="17">
        <v>91.97</v>
      </c>
      <c r="V815" s="15">
        <v>83.89</v>
      </c>
      <c r="W815" s="34">
        <v>87.93</v>
      </c>
    </row>
    <row r="816" spans="19:23" ht="14.25" customHeight="1">
      <c r="S816" s="19"/>
      <c r="T816" s="31" t="s">
        <v>1654</v>
      </c>
      <c r="U816" s="17">
        <v>96.73</v>
      </c>
      <c r="V816" s="15">
        <v>90.65</v>
      </c>
      <c r="W816" s="34">
        <v>93.69</v>
      </c>
    </row>
    <row r="817" spans="19:23" ht="14.25" customHeight="1">
      <c r="S817" s="19"/>
      <c r="T817" s="31" t="s">
        <v>1655</v>
      </c>
      <c r="U817" s="17">
        <v>104.94</v>
      </c>
      <c r="V817" s="15">
        <v>95.71</v>
      </c>
      <c r="W817" s="34">
        <v>100.33</v>
      </c>
    </row>
    <row r="818" spans="19:23" ht="14.25" customHeight="1">
      <c r="S818" s="19"/>
      <c r="T818" s="31" t="s">
        <v>1656</v>
      </c>
      <c r="U818" s="17">
        <v>46.68</v>
      </c>
      <c r="V818" s="15">
        <v>108.99</v>
      </c>
      <c r="W818" s="34">
        <v>77.84</v>
      </c>
    </row>
    <row r="819" spans="19:23" ht="14.25" customHeight="1">
      <c r="S819" s="19"/>
      <c r="T819" s="31" t="s">
        <v>1657</v>
      </c>
      <c r="U819" s="17">
        <v>61.89</v>
      </c>
      <c r="V819" s="15">
        <v>94.09</v>
      </c>
      <c r="W819" s="34">
        <v>77.989999999999995</v>
      </c>
    </row>
    <row r="820" spans="19:23" ht="14.25" customHeight="1">
      <c r="S820" s="19"/>
      <c r="T820" s="31" t="s">
        <v>1658</v>
      </c>
      <c r="U820" s="17">
        <v>118.47</v>
      </c>
      <c r="V820" s="15">
        <v>110.83</v>
      </c>
      <c r="W820" s="34">
        <v>114.65</v>
      </c>
    </row>
    <row r="821" spans="19:23" ht="14.25" customHeight="1">
      <c r="S821" s="19"/>
      <c r="T821" s="31" t="s">
        <v>1659</v>
      </c>
      <c r="U821" s="17">
        <v>69.7</v>
      </c>
      <c r="V821" s="15">
        <v>104.78</v>
      </c>
      <c r="W821" s="34">
        <v>87.24</v>
      </c>
    </row>
    <row r="822" spans="19:23" ht="14.25" customHeight="1">
      <c r="S822" s="19"/>
      <c r="T822" s="31" t="s">
        <v>1660</v>
      </c>
      <c r="U822" s="17">
        <v>111.05</v>
      </c>
      <c r="V822" s="15">
        <v>95.13</v>
      </c>
      <c r="W822" s="34">
        <v>103.09</v>
      </c>
    </row>
    <row r="823" spans="19:23" ht="14.25" customHeight="1">
      <c r="S823" s="19"/>
      <c r="T823" s="31" t="s">
        <v>1661</v>
      </c>
      <c r="U823" s="17">
        <v>68.78</v>
      </c>
      <c r="V823" s="15">
        <v>104.58</v>
      </c>
      <c r="W823" s="34">
        <v>86.68</v>
      </c>
    </row>
    <row r="824" spans="19:23" ht="14.25" customHeight="1">
      <c r="S824" s="19"/>
      <c r="T824" s="31" t="s">
        <v>1662</v>
      </c>
      <c r="U824" s="17">
        <v>108.4</v>
      </c>
      <c r="V824" s="15">
        <v>115.46</v>
      </c>
      <c r="W824" s="34">
        <v>111.93</v>
      </c>
    </row>
    <row r="825" spans="19:23" ht="14.25" customHeight="1">
      <c r="S825" s="19"/>
      <c r="T825" s="31" t="s">
        <v>1663</v>
      </c>
      <c r="U825" s="17">
        <v>88.55</v>
      </c>
      <c r="V825" s="15">
        <v>84.45</v>
      </c>
      <c r="W825" s="34">
        <v>86.5</v>
      </c>
    </row>
    <row r="826" spans="19:23" ht="14.25" customHeight="1">
      <c r="S826" s="19"/>
      <c r="T826" s="31" t="s">
        <v>1664</v>
      </c>
      <c r="U826" s="17">
        <v>100.4</v>
      </c>
      <c r="V826" s="15">
        <v>100.32</v>
      </c>
      <c r="W826" s="34">
        <v>100.36</v>
      </c>
    </row>
    <row r="827" spans="19:23" ht="14.25" customHeight="1">
      <c r="S827" s="19"/>
      <c r="T827" s="31" t="s">
        <v>1665</v>
      </c>
      <c r="U827" s="17">
        <v>68.86</v>
      </c>
      <c r="V827" s="15">
        <v>111.17</v>
      </c>
      <c r="W827" s="34">
        <v>90.02</v>
      </c>
    </row>
    <row r="828" spans="19:23" ht="14.25" customHeight="1">
      <c r="S828" s="19"/>
      <c r="T828" s="31" t="s">
        <v>1666</v>
      </c>
      <c r="U828" s="17">
        <v>84.19</v>
      </c>
      <c r="V828" s="15">
        <v>90.48</v>
      </c>
      <c r="W828" s="34">
        <v>87.34</v>
      </c>
    </row>
    <row r="829" spans="19:23" ht="14.25" customHeight="1">
      <c r="S829" s="19"/>
      <c r="T829" s="31" t="s">
        <v>1667</v>
      </c>
      <c r="U829" s="17">
        <v>91.57</v>
      </c>
      <c r="V829" s="15">
        <v>466.67</v>
      </c>
      <c r="W829" s="34">
        <v>279.12</v>
      </c>
    </row>
    <row r="830" spans="19:23" ht="14.25" customHeight="1">
      <c r="S830" s="19"/>
      <c r="T830" s="31" t="s">
        <v>1668</v>
      </c>
      <c r="U830" s="17">
        <v>80.62</v>
      </c>
      <c r="V830" s="15">
        <v>118.77</v>
      </c>
      <c r="W830" s="34">
        <v>99.7</v>
      </c>
    </row>
    <row r="831" spans="19:23" ht="14.25" customHeight="1">
      <c r="S831" s="19"/>
      <c r="T831" s="31" t="s">
        <v>1669</v>
      </c>
      <c r="U831" s="17">
        <v>112.75</v>
      </c>
      <c r="V831" s="15">
        <v>100.66</v>
      </c>
      <c r="W831" s="34">
        <v>106.71</v>
      </c>
    </row>
    <row r="832" spans="19:23" ht="14.25" customHeight="1">
      <c r="S832" s="19"/>
      <c r="T832" s="31" t="s">
        <v>1670</v>
      </c>
      <c r="U832" s="17">
        <v>130.26</v>
      </c>
      <c r="V832" s="15">
        <v>118.75</v>
      </c>
      <c r="W832" s="34">
        <v>124.51</v>
      </c>
    </row>
    <row r="833" spans="19:23" ht="14.25" customHeight="1">
      <c r="S833" s="19"/>
      <c r="T833" s="31" t="s">
        <v>1671</v>
      </c>
      <c r="U833" s="17">
        <v>133.02000000000001</v>
      </c>
      <c r="V833" s="15">
        <v>123.2</v>
      </c>
      <c r="W833" s="34">
        <v>128.11000000000001</v>
      </c>
    </row>
    <row r="834" spans="19:23" ht="14.25" customHeight="1">
      <c r="S834" s="19"/>
      <c r="T834" s="31" t="s">
        <v>1672</v>
      </c>
      <c r="U834" s="17">
        <v>111.27</v>
      </c>
      <c r="V834" s="15">
        <v>114.31</v>
      </c>
      <c r="W834" s="34">
        <v>112.79</v>
      </c>
    </row>
    <row r="835" spans="19:23" ht="14.25" customHeight="1">
      <c r="S835" s="19"/>
      <c r="T835" s="39" t="s">
        <v>1673</v>
      </c>
      <c r="U835" s="17">
        <v>82.6</v>
      </c>
      <c r="V835" s="15">
        <v>99.29</v>
      </c>
      <c r="W835" s="34">
        <v>90.95</v>
      </c>
    </row>
    <row r="836" spans="19:23" ht="14.25" customHeight="1">
      <c r="S836" s="19"/>
      <c r="T836" s="31" t="s">
        <v>1674</v>
      </c>
      <c r="U836" s="17">
        <v>97</v>
      </c>
      <c r="V836" s="15">
        <v>90.74</v>
      </c>
      <c r="W836" s="34">
        <v>93.87</v>
      </c>
    </row>
    <row r="837" spans="19:23" ht="14.25" customHeight="1">
      <c r="S837" s="19"/>
      <c r="T837" s="31" t="s">
        <v>1675</v>
      </c>
      <c r="U837" s="17">
        <v>111.12</v>
      </c>
      <c r="V837" s="15">
        <v>96.72</v>
      </c>
      <c r="W837" s="34">
        <v>103.92</v>
      </c>
    </row>
    <row r="838" spans="19:23" ht="14.25" customHeight="1">
      <c r="S838" s="19"/>
      <c r="T838" s="31" t="s">
        <v>1676</v>
      </c>
      <c r="U838" s="17">
        <v>109.99</v>
      </c>
      <c r="V838" s="15">
        <v>106.73</v>
      </c>
      <c r="W838" s="34">
        <v>108.36</v>
      </c>
    </row>
    <row r="839" spans="19:23" ht="14.25" customHeight="1">
      <c r="S839" s="19"/>
      <c r="T839" s="31" t="s">
        <v>1677</v>
      </c>
      <c r="U839" s="17">
        <v>44.55</v>
      </c>
      <c r="V839" s="15">
        <v>106.3</v>
      </c>
      <c r="W839" s="34">
        <v>75.430000000000007</v>
      </c>
    </row>
    <row r="840" spans="19:23" ht="14.25" customHeight="1">
      <c r="S840" s="19"/>
      <c r="T840" s="31" t="s">
        <v>1678</v>
      </c>
      <c r="U840" s="17">
        <v>104.93</v>
      </c>
      <c r="V840" s="15">
        <v>85.27</v>
      </c>
      <c r="W840" s="34">
        <v>95.1</v>
      </c>
    </row>
    <row r="841" spans="19:23" ht="14.25" customHeight="1">
      <c r="S841" s="19"/>
      <c r="T841" s="31" t="s">
        <v>1679</v>
      </c>
      <c r="U841" s="17">
        <v>103.8</v>
      </c>
      <c r="V841" s="15">
        <v>98.56</v>
      </c>
      <c r="W841" s="34">
        <v>101.18</v>
      </c>
    </row>
    <row r="842" spans="19:23" ht="14.25" customHeight="1">
      <c r="S842" s="19"/>
      <c r="T842" s="31" t="s">
        <v>1680</v>
      </c>
      <c r="U842" s="17">
        <v>70.59</v>
      </c>
      <c r="V842" s="15">
        <v>105.15</v>
      </c>
      <c r="W842" s="34">
        <v>87.87</v>
      </c>
    </row>
    <row r="843" spans="19:23" ht="14.25" customHeight="1">
      <c r="S843" s="19"/>
      <c r="T843" s="31" t="s">
        <v>1681</v>
      </c>
      <c r="U843" s="17">
        <v>73.900000000000006</v>
      </c>
      <c r="V843" s="15">
        <v>119.05</v>
      </c>
      <c r="W843" s="34">
        <v>96.48</v>
      </c>
    </row>
    <row r="844" spans="19:23" ht="14.25" customHeight="1">
      <c r="S844" s="19"/>
      <c r="T844" s="31" t="s">
        <v>1682</v>
      </c>
      <c r="U844" s="17">
        <v>105.49</v>
      </c>
      <c r="V844" s="15">
        <v>107.44</v>
      </c>
      <c r="W844" s="34">
        <v>106.47</v>
      </c>
    </row>
    <row r="845" spans="19:23" ht="14.25" customHeight="1">
      <c r="S845" s="19"/>
      <c r="T845" s="31" t="s">
        <v>1683</v>
      </c>
      <c r="U845" s="17">
        <v>66.34</v>
      </c>
      <c r="V845" s="15">
        <v>77.05</v>
      </c>
      <c r="W845" s="34">
        <v>71.7</v>
      </c>
    </row>
    <row r="846" spans="19:23" ht="14.25" customHeight="1">
      <c r="S846" s="19"/>
      <c r="T846" s="31" t="s">
        <v>1684</v>
      </c>
      <c r="U846" s="17">
        <v>106.28</v>
      </c>
      <c r="V846" s="15">
        <v>97.28</v>
      </c>
      <c r="W846" s="34">
        <v>101.78</v>
      </c>
    </row>
    <row r="847" spans="19:23" ht="14.25" customHeight="1">
      <c r="S847" s="19"/>
      <c r="T847" s="31" t="s">
        <v>1685</v>
      </c>
      <c r="U847" s="17">
        <v>60.19</v>
      </c>
      <c r="V847" s="15">
        <v>101.18</v>
      </c>
      <c r="W847" s="34">
        <v>80.69</v>
      </c>
    </row>
    <row r="848" spans="19:23" ht="14.25" customHeight="1">
      <c r="S848" s="19"/>
      <c r="T848" s="31" t="s">
        <v>1686</v>
      </c>
      <c r="U848" s="17">
        <v>102.46</v>
      </c>
      <c r="V848" s="15">
        <v>106.17</v>
      </c>
      <c r="W848" s="34">
        <v>104.32</v>
      </c>
    </row>
    <row r="849" spans="19:23" ht="14.25" customHeight="1">
      <c r="S849" s="19"/>
      <c r="T849" s="31" t="s">
        <v>1687</v>
      </c>
      <c r="U849" s="17">
        <v>112.22</v>
      </c>
      <c r="V849" s="15">
        <v>101.18</v>
      </c>
      <c r="W849" s="34">
        <v>106.7</v>
      </c>
    </row>
    <row r="850" spans="19:23" ht="14.25" customHeight="1">
      <c r="S850" s="19"/>
      <c r="T850" s="31" t="s">
        <v>1688</v>
      </c>
      <c r="U850" s="17">
        <v>87.83</v>
      </c>
      <c r="V850" s="15">
        <v>96.72</v>
      </c>
      <c r="W850" s="34">
        <v>92.28</v>
      </c>
    </row>
    <row r="851" spans="19:23" ht="14.25" customHeight="1">
      <c r="S851" s="19"/>
      <c r="T851" s="31" t="s">
        <v>1689</v>
      </c>
      <c r="U851" s="17">
        <v>69.61</v>
      </c>
      <c r="V851" s="15">
        <v>113</v>
      </c>
      <c r="W851" s="34">
        <v>91.31</v>
      </c>
    </row>
    <row r="852" spans="19:23" ht="14.25" customHeight="1">
      <c r="S852" s="19"/>
      <c r="T852" s="31" t="s">
        <v>1690</v>
      </c>
      <c r="U852" s="17">
        <v>99.48</v>
      </c>
      <c r="V852" s="15">
        <v>89.97</v>
      </c>
      <c r="W852" s="34">
        <v>94.73</v>
      </c>
    </row>
    <row r="853" spans="19:23" ht="14.25" customHeight="1">
      <c r="S853" s="19"/>
      <c r="T853" s="31" t="s">
        <v>1691</v>
      </c>
      <c r="U853" s="17">
        <v>88.65</v>
      </c>
      <c r="V853" s="15">
        <v>87.69</v>
      </c>
      <c r="W853" s="34">
        <v>88.17</v>
      </c>
    </row>
    <row r="854" spans="19:23" ht="14.25" customHeight="1">
      <c r="S854" s="19"/>
      <c r="T854" s="31" t="s">
        <v>1692</v>
      </c>
      <c r="U854" s="17">
        <v>121.76</v>
      </c>
      <c r="V854" s="15">
        <v>145.87</v>
      </c>
      <c r="W854" s="34">
        <v>133.82</v>
      </c>
    </row>
    <row r="855" spans="19:23" ht="14.25" customHeight="1">
      <c r="S855" s="19"/>
      <c r="T855" s="41"/>
      <c r="U855" s="38"/>
      <c r="V855" s="41"/>
      <c r="W855" s="19"/>
    </row>
    <row r="856" spans="19:23" ht="14.25" customHeight="1">
      <c r="S856" s="19"/>
      <c r="T856" s="38"/>
      <c r="U856" s="38"/>
      <c r="V856" s="38"/>
      <c r="W856" s="19"/>
    </row>
    <row r="857" spans="19:23" ht="14.25" customHeight="1">
      <c r="T857" s="38"/>
      <c r="U857" s="38"/>
      <c r="V857" s="38"/>
    </row>
    <row r="858" spans="19:23" ht="14.25" customHeight="1">
      <c r="T858" s="38"/>
      <c r="U858" s="38"/>
      <c r="V858" s="38"/>
    </row>
    <row r="859" spans="19:23" ht="14.25" customHeight="1">
      <c r="T859" s="38"/>
      <c r="U859" s="38"/>
      <c r="V859" s="38"/>
    </row>
    <row r="860" spans="19:23" ht="14.25" customHeight="1"/>
    <row r="861" spans="19:23" ht="14.25" customHeight="1"/>
    <row r="862" spans="19:23" ht="14.25" customHeight="1"/>
    <row r="863" spans="19:23" ht="14.25" customHeight="1"/>
    <row r="864" spans="19:23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</sheetData>
  <autoFilter ref="A1:E249"/>
  <mergeCells count="4">
    <mergeCell ref="B1:D1"/>
    <mergeCell ref="H1:J1"/>
    <mergeCell ref="N1:P1"/>
    <mergeCell ref="T1:V1"/>
  </mergeCells>
  <conditionalFormatting sqref="D3">
    <cfRule type="notContainsBlanks" dxfId="0" priority="1">
      <formula>LEN(TRIM(D3))&gt;0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4.44140625" defaultRowHeight="15" customHeight="1"/>
  <cols>
    <col min="1" max="1" width="8.6640625" customWidth="1"/>
    <col min="2" max="2" width="13.6640625" customWidth="1"/>
    <col min="3" max="3" width="17.109375" customWidth="1"/>
    <col min="4" max="4" width="11.5546875" customWidth="1"/>
    <col min="5" max="26" width="8.6640625" customWidth="1"/>
  </cols>
  <sheetData>
    <row r="1" spans="1:10" ht="14.25" customHeight="1">
      <c r="A1" s="3" t="s">
        <v>1693</v>
      </c>
      <c r="B1" s="3" t="s">
        <v>1694</v>
      </c>
      <c r="C1" s="3" t="s">
        <v>4</v>
      </c>
      <c r="D1" s="3" t="s">
        <v>1695</v>
      </c>
    </row>
    <row r="2" spans="1:10" ht="14.25" customHeight="1">
      <c r="A2" s="3">
        <v>2015</v>
      </c>
      <c r="B2" s="42">
        <v>1056</v>
      </c>
      <c r="C2" s="42">
        <f t="shared" ref="C2:C12" si="0">B2/D2*100000</f>
        <v>1.2325038434628615</v>
      </c>
      <c r="D2" s="43">
        <v>85679246</v>
      </c>
    </row>
    <row r="3" spans="1:10" ht="14.25" customHeight="1">
      <c r="A3" s="3">
        <v>2016</v>
      </c>
      <c r="B3" s="42">
        <v>555</v>
      </c>
      <c r="C3" s="42">
        <f t="shared" si="0"/>
        <v>0.64260146934820517</v>
      </c>
      <c r="D3" s="43">
        <v>86367683</v>
      </c>
    </row>
    <row r="4" spans="1:10" ht="14.25" customHeight="1">
      <c r="A4" s="3">
        <v>2017</v>
      </c>
      <c r="B4" s="42">
        <v>724</v>
      </c>
      <c r="C4" s="42">
        <f t="shared" si="0"/>
        <v>0.83184890241386344</v>
      </c>
      <c r="D4" s="43">
        <v>87035037</v>
      </c>
    </row>
    <row r="5" spans="1:10" ht="14.25" customHeight="1">
      <c r="A5" s="3">
        <v>2018</v>
      </c>
      <c r="B5" s="42">
        <v>813</v>
      </c>
      <c r="C5" s="42">
        <f t="shared" si="0"/>
        <v>0.92689768848589904</v>
      </c>
      <c r="D5" s="43">
        <v>87711946</v>
      </c>
      <c r="G5" s="44" t="s">
        <v>1696</v>
      </c>
      <c r="H5" s="45"/>
      <c r="I5" s="45"/>
      <c r="J5" s="45"/>
    </row>
    <row r="6" spans="1:10" ht="14.25" customHeight="1">
      <c r="A6" s="3">
        <v>2019</v>
      </c>
      <c r="B6" s="42">
        <v>432</v>
      </c>
      <c r="C6" s="42">
        <f t="shared" si="0"/>
        <v>0.48884575629773935</v>
      </c>
      <c r="D6" s="43">
        <v>88371433</v>
      </c>
    </row>
    <row r="7" spans="1:10" ht="14.25" customHeight="1">
      <c r="A7" s="3">
        <v>2020</v>
      </c>
      <c r="B7" s="42">
        <v>82</v>
      </c>
      <c r="C7" s="42">
        <f t="shared" si="0"/>
        <v>9.2122162075687561E-2</v>
      </c>
      <c r="D7" s="43">
        <v>89012240</v>
      </c>
    </row>
    <row r="8" spans="1:10" ht="14.25" customHeight="1">
      <c r="A8" s="3">
        <v>2021</v>
      </c>
      <c r="B8" s="42">
        <v>41</v>
      </c>
      <c r="C8" s="42">
        <f t="shared" si="0"/>
        <v>4.5742126508173692E-2</v>
      </c>
      <c r="D8" s="43">
        <v>89632912</v>
      </c>
    </row>
    <row r="9" spans="1:10" ht="14.25" customHeight="1">
      <c r="A9" s="3">
        <v>2022</v>
      </c>
      <c r="B9" s="42">
        <v>39</v>
      </c>
      <c r="C9" s="42">
        <f t="shared" si="0"/>
        <v>4.3222160174410065E-2</v>
      </c>
      <c r="D9" s="43">
        <v>90231492</v>
      </c>
    </row>
    <row r="10" spans="1:10" ht="14.25" customHeight="1">
      <c r="A10" s="3">
        <v>2023</v>
      </c>
      <c r="B10" s="42">
        <v>74</v>
      </c>
      <c r="C10" s="42">
        <f t="shared" si="0"/>
        <v>8.1492162909705429E-2</v>
      </c>
      <c r="D10" s="43">
        <v>90806278</v>
      </c>
    </row>
    <row r="11" spans="1:10" ht="14.25" customHeight="1">
      <c r="A11" s="3">
        <v>2024</v>
      </c>
      <c r="B11" s="42">
        <v>3153</v>
      </c>
      <c r="C11" s="42">
        <f t="shared" si="0"/>
        <v>3.4513170764513696</v>
      </c>
      <c r="D11" s="43">
        <v>91356428</v>
      </c>
    </row>
    <row r="12" spans="1:10" ht="14.25" customHeight="1">
      <c r="A12" s="3">
        <v>2025</v>
      </c>
      <c r="B12" s="42">
        <v>973</v>
      </c>
      <c r="C12" s="42">
        <f t="shared" si="0"/>
        <v>1.0589734246320071</v>
      </c>
      <c r="D12" s="43">
        <v>91881437</v>
      </c>
    </row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/>
  </sheetViews>
  <sheetFormatPr defaultColWidth="14.44140625" defaultRowHeight="15" customHeight="1"/>
  <cols>
    <col min="1" max="1" width="16.6640625" customWidth="1"/>
    <col min="2" max="2" width="18.33203125" customWidth="1"/>
    <col min="3" max="3" width="19.5546875" customWidth="1"/>
    <col min="4" max="4" width="26.109375" customWidth="1"/>
    <col min="5" max="5" width="20.6640625" customWidth="1"/>
    <col min="6" max="6" width="26.109375" customWidth="1"/>
    <col min="7" max="7" width="26.6640625" customWidth="1"/>
    <col min="8" max="8" width="22.6640625" customWidth="1"/>
    <col min="9" max="9" width="21" customWidth="1"/>
    <col min="10" max="10" width="26.6640625" customWidth="1"/>
    <col min="11" max="11" width="25.109375" customWidth="1"/>
    <col min="12" max="12" width="12" customWidth="1"/>
    <col min="13" max="13" width="9.33203125" customWidth="1"/>
    <col min="14" max="26" width="8.6640625" customWidth="1"/>
  </cols>
  <sheetData>
    <row r="1" spans="1:13" ht="14.25" customHeight="1">
      <c r="A1" s="61" t="s">
        <v>1697</v>
      </c>
      <c r="B1" s="59"/>
      <c r="C1" s="59"/>
      <c r="D1" s="59"/>
      <c r="E1" s="60"/>
    </row>
    <row r="2" spans="1:13" ht="14.25" customHeight="1">
      <c r="A2" s="26" t="s">
        <v>1698</v>
      </c>
      <c r="B2" s="26" t="s">
        <v>1699</v>
      </c>
      <c r="C2" s="26" t="s">
        <v>1700</v>
      </c>
      <c r="D2" s="26" t="s">
        <v>1701</v>
      </c>
      <c r="E2" s="26" t="s">
        <v>1702</v>
      </c>
    </row>
    <row r="3" spans="1:13" ht="14.25" customHeight="1">
      <c r="A3" s="3" t="s">
        <v>1703</v>
      </c>
      <c r="B3" s="42" t="s">
        <v>262</v>
      </c>
      <c r="C3" s="42">
        <v>1027</v>
      </c>
      <c r="D3" s="42">
        <v>1336</v>
      </c>
      <c r="E3" s="42">
        <v>2363</v>
      </c>
    </row>
    <row r="4" spans="1:13" ht="14.25" customHeight="1">
      <c r="A4" s="3" t="s">
        <v>1704</v>
      </c>
      <c r="B4" s="42" t="s">
        <v>262</v>
      </c>
      <c r="C4" s="42">
        <v>197</v>
      </c>
      <c r="D4" s="42">
        <v>279</v>
      </c>
      <c r="E4" s="42">
        <v>476</v>
      </c>
    </row>
    <row r="5" spans="1:13" ht="14.25" customHeight="1">
      <c r="A5" s="3" t="s">
        <v>876</v>
      </c>
      <c r="B5" s="42" t="s">
        <v>262</v>
      </c>
      <c r="C5" s="42">
        <v>482</v>
      </c>
      <c r="D5" s="42">
        <v>569</v>
      </c>
      <c r="E5" s="42">
        <v>1051</v>
      </c>
    </row>
    <row r="6" spans="1:13" ht="14.25" customHeight="1">
      <c r="A6" s="3" t="s">
        <v>1705</v>
      </c>
      <c r="B6" s="42">
        <v>2</v>
      </c>
      <c r="C6" s="42">
        <v>1917</v>
      </c>
      <c r="D6" s="42">
        <v>2225</v>
      </c>
      <c r="E6" s="42">
        <v>4144</v>
      </c>
    </row>
    <row r="7" spans="1:13" ht="14.25" customHeight="1">
      <c r="A7" s="3" t="s">
        <v>1702</v>
      </c>
      <c r="B7" s="42">
        <v>2</v>
      </c>
      <c r="C7" s="42">
        <v>3623</v>
      </c>
      <c r="D7" s="42">
        <v>4409</v>
      </c>
      <c r="E7" s="42">
        <v>8034</v>
      </c>
    </row>
    <row r="8" spans="1:13" ht="14.25" customHeight="1">
      <c r="A8" s="46"/>
    </row>
    <row r="9" spans="1:13" ht="14.25" customHeight="1">
      <c r="A9" s="26" t="s">
        <v>1698</v>
      </c>
      <c r="B9" s="26" t="s">
        <v>1699</v>
      </c>
      <c r="C9" s="26" t="s">
        <v>1706</v>
      </c>
      <c r="D9" s="26" t="s">
        <v>1707</v>
      </c>
      <c r="E9" s="26" t="s">
        <v>1708</v>
      </c>
      <c r="F9" s="26" t="s">
        <v>1709</v>
      </c>
      <c r="G9" s="26" t="s">
        <v>1710</v>
      </c>
      <c r="H9" s="26" t="s">
        <v>1702</v>
      </c>
    </row>
    <row r="10" spans="1:13" ht="14.25" customHeight="1">
      <c r="A10" s="3" t="s">
        <v>1703</v>
      </c>
      <c r="B10" s="42">
        <v>225</v>
      </c>
      <c r="C10" s="42">
        <v>1065</v>
      </c>
      <c r="D10" s="42">
        <v>102</v>
      </c>
      <c r="E10" s="42">
        <v>8</v>
      </c>
      <c r="F10" s="42">
        <v>961</v>
      </c>
      <c r="G10" s="42">
        <v>2</v>
      </c>
      <c r="H10" s="42">
        <v>2363</v>
      </c>
    </row>
    <row r="11" spans="1:13" ht="14.25" customHeight="1">
      <c r="A11" s="3" t="s">
        <v>1704</v>
      </c>
      <c r="B11" s="42">
        <v>73</v>
      </c>
      <c r="C11" s="42">
        <v>161</v>
      </c>
      <c r="D11" s="42">
        <v>15</v>
      </c>
      <c r="E11" s="42">
        <v>2</v>
      </c>
      <c r="F11" s="42">
        <v>224</v>
      </c>
      <c r="G11" s="42">
        <v>1</v>
      </c>
      <c r="H11" s="42">
        <v>476</v>
      </c>
    </row>
    <row r="12" spans="1:13" ht="14.25" customHeight="1">
      <c r="A12" s="3" t="s">
        <v>876</v>
      </c>
      <c r="B12" s="42">
        <v>165</v>
      </c>
      <c r="C12" s="42">
        <v>503</v>
      </c>
      <c r="D12" s="42">
        <v>64</v>
      </c>
      <c r="E12" s="42">
        <v>3</v>
      </c>
      <c r="F12" s="42">
        <v>311</v>
      </c>
      <c r="G12" s="42">
        <v>5</v>
      </c>
      <c r="H12" s="42">
        <v>1051</v>
      </c>
    </row>
    <row r="13" spans="1:13" ht="14.25" customHeight="1">
      <c r="A13" s="3" t="s">
        <v>1705</v>
      </c>
      <c r="B13" s="42">
        <v>770</v>
      </c>
      <c r="C13" s="42">
        <v>2608</v>
      </c>
      <c r="D13" s="42">
        <v>97</v>
      </c>
      <c r="E13" s="42">
        <v>30</v>
      </c>
      <c r="F13" s="42">
        <v>630</v>
      </c>
      <c r="G13" s="42">
        <v>9</v>
      </c>
      <c r="H13" s="42">
        <v>4144</v>
      </c>
    </row>
    <row r="14" spans="1:13" ht="14.25" customHeight="1">
      <c r="A14" s="3" t="s">
        <v>1702</v>
      </c>
      <c r="B14" s="42">
        <v>1233</v>
      </c>
      <c r="C14" s="42">
        <v>4337</v>
      </c>
      <c r="D14" s="42">
        <v>278</v>
      </c>
      <c r="E14" s="42">
        <v>43</v>
      </c>
      <c r="F14" s="42">
        <v>2126</v>
      </c>
      <c r="G14" s="42">
        <v>17</v>
      </c>
      <c r="H14" s="42">
        <v>8034</v>
      </c>
    </row>
    <row r="15" spans="1:13" ht="14.25" customHeight="1">
      <c r="A15" s="46"/>
    </row>
    <row r="16" spans="1:13" ht="14.25" customHeight="1">
      <c r="A16" s="26" t="s">
        <v>1698</v>
      </c>
      <c r="B16" s="26" t="s">
        <v>1711</v>
      </c>
      <c r="C16" s="47" t="s">
        <v>1712</v>
      </c>
      <c r="D16" s="47" t="s">
        <v>1713</v>
      </c>
      <c r="E16" s="48" t="s">
        <v>1714</v>
      </c>
      <c r="F16" s="26" t="s">
        <v>1715</v>
      </c>
      <c r="G16" s="26" t="s">
        <v>1716</v>
      </c>
      <c r="H16" s="26" t="s">
        <v>1717</v>
      </c>
      <c r="I16" s="26" t="s">
        <v>1718</v>
      </c>
      <c r="J16" s="26" t="s">
        <v>1719</v>
      </c>
      <c r="K16" s="26" t="s">
        <v>1720</v>
      </c>
      <c r="L16" s="26" t="s">
        <v>1721</v>
      </c>
      <c r="M16" s="26" t="s">
        <v>1702</v>
      </c>
    </row>
    <row r="17" spans="1:13" ht="14.25" customHeight="1">
      <c r="A17" s="3" t="s">
        <v>1703</v>
      </c>
      <c r="B17" s="42">
        <v>762</v>
      </c>
      <c r="C17" s="42">
        <v>385</v>
      </c>
      <c r="D17" s="42">
        <v>206</v>
      </c>
      <c r="E17" s="42">
        <v>280</v>
      </c>
      <c r="F17" s="42">
        <v>182</v>
      </c>
      <c r="G17" s="42">
        <v>285</v>
      </c>
      <c r="H17" s="42">
        <v>214</v>
      </c>
      <c r="I17" s="42">
        <v>15</v>
      </c>
      <c r="J17" s="42">
        <v>12</v>
      </c>
      <c r="K17" s="42">
        <v>16</v>
      </c>
      <c r="L17" s="42">
        <v>6</v>
      </c>
      <c r="M17" s="42">
        <v>2363</v>
      </c>
    </row>
    <row r="18" spans="1:13" ht="14.25" customHeight="1">
      <c r="A18" s="3" t="s">
        <v>1704</v>
      </c>
      <c r="B18" s="42">
        <v>219</v>
      </c>
      <c r="C18" s="42">
        <v>99</v>
      </c>
      <c r="D18" s="42">
        <v>73</v>
      </c>
      <c r="E18" s="42">
        <v>38</v>
      </c>
      <c r="F18" s="42">
        <v>7</v>
      </c>
      <c r="G18" s="42">
        <v>24</v>
      </c>
      <c r="H18" s="42">
        <v>10</v>
      </c>
      <c r="I18" s="42">
        <v>3</v>
      </c>
      <c r="J18" s="42">
        <v>3</v>
      </c>
      <c r="K18" s="42" t="s">
        <v>262</v>
      </c>
      <c r="L18" s="42" t="s">
        <v>262</v>
      </c>
      <c r="M18" s="42">
        <v>476</v>
      </c>
    </row>
    <row r="19" spans="1:13" ht="14.25" customHeight="1">
      <c r="A19" s="3" t="s">
        <v>876</v>
      </c>
      <c r="B19" s="42">
        <v>389</v>
      </c>
      <c r="C19" s="42">
        <v>147</v>
      </c>
      <c r="D19" s="42">
        <v>59</v>
      </c>
      <c r="E19" s="42">
        <v>157</v>
      </c>
      <c r="F19" s="42">
        <v>71</v>
      </c>
      <c r="G19" s="42">
        <v>115</v>
      </c>
      <c r="H19" s="42">
        <v>84</v>
      </c>
      <c r="I19" s="42">
        <v>9</v>
      </c>
      <c r="J19" s="42">
        <v>6</v>
      </c>
      <c r="K19" s="42">
        <v>7</v>
      </c>
      <c r="L19" s="42">
        <v>7</v>
      </c>
      <c r="M19" s="42">
        <v>1051</v>
      </c>
    </row>
    <row r="20" spans="1:13" ht="14.25" customHeight="1">
      <c r="A20" s="3" t="s">
        <v>1705</v>
      </c>
      <c r="B20" s="42">
        <v>1537</v>
      </c>
      <c r="C20" s="42">
        <v>655</v>
      </c>
      <c r="D20" s="42">
        <v>403</v>
      </c>
      <c r="E20" s="42">
        <v>582</v>
      </c>
      <c r="F20" s="42">
        <v>201</v>
      </c>
      <c r="G20" s="42">
        <v>350</v>
      </c>
      <c r="H20" s="42">
        <v>311</v>
      </c>
      <c r="I20" s="42">
        <v>29</v>
      </c>
      <c r="J20" s="42">
        <v>25</v>
      </c>
      <c r="K20" s="42">
        <v>33</v>
      </c>
      <c r="L20" s="42">
        <v>18</v>
      </c>
      <c r="M20" s="42">
        <v>4144</v>
      </c>
    </row>
    <row r="21" spans="1:13" ht="14.25" customHeight="1">
      <c r="A21" s="3" t="s">
        <v>1702</v>
      </c>
      <c r="B21" s="42">
        <v>2907</v>
      </c>
      <c r="C21" s="42">
        <v>1286</v>
      </c>
      <c r="D21" s="42">
        <v>741</v>
      </c>
      <c r="E21" s="42">
        <v>1057</v>
      </c>
      <c r="F21" s="42">
        <v>461</v>
      </c>
      <c r="G21" s="42">
        <v>774</v>
      </c>
      <c r="H21" s="42">
        <v>619</v>
      </c>
      <c r="I21" s="42">
        <v>56</v>
      </c>
      <c r="J21" s="42">
        <v>46</v>
      </c>
      <c r="K21" s="42">
        <v>56</v>
      </c>
      <c r="L21" s="42">
        <v>31</v>
      </c>
      <c r="M21" s="42">
        <v>8034</v>
      </c>
    </row>
    <row r="22" spans="1:13" ht="14.25" customHeight="1">
      <c r="A22" s="46"/>
    </row>
    <row r="23" spans="1:13" ht="14.25" customHeight="1">
      <c r="A23" s="26" t="s">
        <v>1698</v>
      </c>
      <c r="B23" s="26" t="s">
        <v>1699</v>
      </c>
      <c r="C23" s="26" t="s">
        <v>1722</v>
      </c>
      <c r="D23" s="26" t="s">
        <v>1723</v>
      </c>
      <c r="E23" s="26" t="s">
        <v>1724</v>
      </c>
      <c r="F23" s="26" t="s">
        <v>1702</v>
      </c>
    </row>
    <row r="24" spans="1:13" ht="14.25" customHeight="1">
      <c r="A24" s="3" t="s">
        <v>1703</v>
      </c>
      <c r="B24" s="42">
        <v>1846</v>
      </c>
      <c r="C24" s="42">
        <v>451</v>
      </c>
      <c r="D24" s="42">
        <v>63</v>
      </c>
      <c r="E24" s="42">
        <v>3</v>
      </c>
      <c r="F24" s="42">
        <v>2363</v>
      </c>
    </row>
    <row r="25" spans="1:13" ht="14.25" customHeight="1">
      <c r="A25" s="3" t="s">
        <v>1704</v>
      </c>
      <c r="B25" s="42">
        <v>114</v>
      </c>
      <c r="C25" s="42">
        <v>308</v>
      </c>
      <c r="D25" s="42">
        <v>50</v>
      </c>
      <c r="E25" s="42">
        <v>4</v>
      </c>
      <c r="F25" s="42">
        <v>476</v>
      </c>
    </row>
    <row r="26" spans="1:13" ht="14.25" customHeight="1">
      <c r="A26" s="3" t="s">
        <v>876</v>
      </c>
      <c r="B26" s="42">
        <v>840</v>
      </c>
      <c r="C26" s="42">
        <v>202</v>
      </c>
      <c r="D26" s="42">
        <v>9</v>
      </c>
      <c r="E26" s="42" t="s">
        <v>262</v>
      </c>
      <c r="F26" s="42">
        <v>1051</v>
      </c>
    </row>
    <row r="27" spans="1:13" ht="14.25" customHeight="1">
      <c r="A27" s="3" t="s">
        <v>1705</v>
      </c>
      <c r="B27" s="42">
        <v>2954</v>
      </c>
      <c r="C27" s="42">
        <v>1156</v>
      </c>
      <c r="D27" s="42">
        <v>28</v>
      </c>
      <c r="E27" s="42">
        <v>6</v>
      </c>
      <c r="F27" s="42">
        <v>4144</v>
      </c>
    </row>
    <row r="28" spans="1:13" ht="14.25" customHeight="1">
      <c r="A28" s="3" t="s">
        <v>1702</v>
      </c>
      <c r="B28" s="42">
        <v>5754</v>
      </c>
      <c r="C28" s="42">
        <v>2117</v>
      </c>
      <c r="D28" s="42">
        <v>150</v>
      </c>
      <c r="E28" s="42">
        <v>13</v>
      </c>
      <c r="F28" s="42">
        <v>8034</v>
      </c>
    </row>
    <row r="29" spans="1:13" ht="14.25" customHeight="1">
      <c r="A29" s="46"/>
    </row>
    <row r="30" spans="1:13" ht="14.25" customHeight="1">
      <c r="A30" s="26" t="s">
        <v>1698</v>
      </c>
      <c r="B30" s="26" t="s">
        <v>1699</v>
      </c>
      <c r="C30" s="26" t="s">
        <v>1725</v>
      </c>
      <c r="D30" s="26" t="s">
        <v>1726</v>
      </c>
      <c r="E30" s="26" t="s">
        <v>1727</v>
      </c>
      <c r="F30" s="26" t="s">
        <v>1728</v>
      </c>
      <c r="G30" s="26" t="s">
        <v>1729</v>
      </c>
      <c r="H30" s="26" t="s">
        <v>1730</v>
      </c>
      <c r="I30" s="26" t="s">
        <v>1731</v>
      </c>
      <c r="J30" s="26" t="s">
        <v>1732</v>
      </c>
      <c r="K30" s="26" t="s">
        <v>1733</v>
      </c>
      <c r="L30" s="26" t="s">
        <v>1734</v>
      </c>
      <c r="M30" s="26" t="s">
        <v>1702</v>
      </c>
    </row>
    <row r="31" spans="1:13" ht="14.25" customHeight="1">
      <c r="A31" s="3" t="s">
        <v>1703</v>
      </c>
      <c r="B31" s="42">
        <v>460</v>
      </c>
      <c r="C31" s="42" t="s">
        <v>262</v>
      </c>
      <c r="D31" s="42">
        <v>104</v>
      </c>
      <c r="E31" s="42">
        <v>42</v>
      </c>
      <c r="F31" s="42">
        <v>139</v>
      </c>
      <c r="G31" s="42">
        <v>57</v>
      </c>
      <c r="H31" s="42">
        <v>79</v>
      </c>
      <c r="I31" s="42">
        <v>135</v>
      </c>
      <c r="J31" s="42">
        <v>44</v>
      </c>
      <c r="K31" s="42">
        <v>84</v>
      </c>
      <c r="L31" s="42">
        <v>1219</v>
      </c>
      <c r="M31" s="42">
        <v>2363</v>
      </c>
    </row>
    <row r="32" spans="1:13" ht="14.25" customHeight="1">
      <c r="A32" s="3" t="s">
        <v>1704</v>
      </c>
      <c r="B32" s="42">
        <v>36</v>
      </c>
      <c r="C32" s="42">
        <v>1</v>
      </c>
      <c r="D32" s="42">
        <v>35</v>
      </c>
      <c r="E32" s="42">
        <v>10</v>
      </c>
      <c r="F32" s="42">
        <v>20</v>
      </c>
      <c r="G32" s="42">
        <v>2</v>
      </c>
      <c r="H32" s="42">
        <v>11</v>
      </c>
      <c r="I32" s="42">
        <v>9</v>
      </c>
      <c r="J32" s="42">
        <v>1</v>
      </c>
      <c r="K32" s="42">
        <v>5</v>
      </c>
      <c r="L32" s="42">
        <v>346</v>
      </c>
      <c r="M32" s="42">
        <v>476</v>
      </c>
    </row>
    <row r="33" spans="1:13" ht="14.25" customHeight="1">
      <c r="A33" s="3" t="s">
        <v>876</v>
      </c>
      <c r="B33" s="42">
        <v>160</v>
      </c>
      <c r="C33" s="42">
        <v>1</v>
      </c>
      <c r="D33" s="42">
        <v>30</v>
      </c>
      <c r="E33" s="42">
        <v>15</v>
      </c>
      <c r="F33" s="42">
        <v>74</v>
      </c>
      <c r="G33" s="42">
        <v>18</v>
      </c>
      <c r="H33" s="42">
        <v>51</v>
      </c>
      <c r="I33" s="42">
        <v>47</v>
      </c>
      <c r="J33" s="42">
        <v>27</v>
      </c>
      <c r="K33" s="42">
        <v>70</v>
      </c>
      <c r="L33" s="42">
        <v>558</v>
      </c>
      <c r="M33" s="42">
        <v>1051</v>
      </c>
    </row>
    <row r="34" spans="1:13" ht="14.25" customHeight="1">
      <c r="A34" s="3" t="s">
        <v>1705</v>
      </c>
      <c r="B34" s="42">
        <v>847</v>
      </c>
      <c r="C34" s="42">
        <v>4</v>
      </c>
      <c r="D34" s="42">
        <v>150</v>
      </c>
      <c r="E34" s="42">
        <v>73</v>
      </c>
      <c r="F34" s="42">
        <v>229</v>
      </c>
      <c r="G34" s="42">
        <v>63</v>
      </c>
      <c r="H34" s="42">
        <v>92</v>
      </c>
      <c r="I34" s="42">
        <v>151</v>
      </c>
      <c r="J34" s="42">
        <v>34</v>
      </c>
      <c r="K34" s="42">
        <v>150</v>
      </c>
      <c r="L34" s="42">
        <v>2351</v>
      </c>
      <c r="M34" s="42">
        <v>4144</v>
      </c>
    </row>
    <row r="35" spans="1:13" ht="14.25" customHeight="1">
      <c r="A35" s="3" t="s">
        <v>1702</v>
      </c>
      <c r="B35" s="42">
        <v>1503</v>
      </c>
      <c r="C35" s="42">
        <v>6</v>
      </c>
      <c r="D35" s="42">
        <v>319</v>
      </c>
      <c r="E35" s="42">
        <v>140</v>
      </c>
      <c r="F35" s="42">
        <v>462</v>
      </c>
      <c r="G35" s="42">
        <v>140</v>
      </c>
      <c r="H35" s="42">
        <v>233</v>
      </c>
      <c r="I35" s="42">
        <v>342</v>
      </c>
      <c r="J35" s="42">
        <v>106</v>
      </c>
      <c r="K35" s="42">
        <v>309</v>
      </c>
      <c r="L35" s="42">
        <v>4474</v>
      </c>
      <c r="M35" s="42">
        <v>8034</v>
      </c>
    </row>
    <row r="36" spans="1:13" ht="14.25" customHeight="1">
      <c r="A36" s="46"/>
    </row>
    <row r="37" spans="1:13" ht="14.25" customHeight="1">
      <c r="A37" s="26" t="s">
        <v>1698</v>
      </c>
      <c r="B37" s="26" t="s">
        <v>1699</v>
      </c>
      <c r="C37" s="26" t="s">
        <v>1735</v>
      </c>
      <c r="D37" s="26" t="s">
        <v>1736</v>
      </c>
      <c r="E37" s="26" t="s">
        <v>1737</v>
      </c>
      <c r="F37" s="26" t="s">
        <v>1702</v>
      </c>
    </row>
    <row r="38" spans="1:13" ht="14.25" customHeight="1">
      <c r="A38" s="3" t="s">
        <v>1703</v>
      </c>
      <c r="B38" s="42">
        <v>12</v>
      </c>
      <c r="C38" s="42">
        <v>952</v>
      </c>
      <c r="D38" s="42">
        <v>546</v>
      </c>
      <c r="E38" s="42">
        <v>853</v>
      </c>
      <c r="F38" s="42">
        <v>2363</v>
      </c>
    </row>
    <row r="39" spans="1:13" ht="14.25" customHeight="1">
      <c r="A39" s="3" t="s">
        <v>1704</v>
      </c>
      <c r="B39" s="42">
        <v>1</v>
      </c>
      <c r="C39" s="42">
        <v>26</v>
      </c>
      <c r="D39" s="42">
        <v>90</v>
      </c>
      <c r="E39" s="42">
        <v>359</v>
      </c>
      <c r="F39" s="42">
        <v>476</v>
      </c>
    </row>
    <row r="40" spans="1:13" ht="14.25" customHeight="1">
      <c r="A40" s="3" t="s">
        <v>876</v>
      </c>
      <c r="B40" s="42">
        <v>4</v>
      </c>
      <c r="C40" s="42">
        <v>376</v>
      </c>
      <c r="D40" s="42">
        <v>188</v>
      </c>
      <c r="E40" s="42">
        <v>483</v>
      </c>
      <c r="F40" s="42">
        <v>1051</v>
      </c>
    </row>
    <row r="41" spans="1:13" ht="14.25" customHeight="1">
      <c r="A41" s="3" t="s">
        <v>1705</v>
      </c>
      <c r="B41" s="42">
        <v>21</v>
      </c>
      <c r="C41" s="42">
        <v>2846</v>
      </c>
      <c r="D41" s="42">
        <v>619</v>
      </c>
      <c r="E41" s="42">
        <v>658</v>
      </c>
      <c r="F41" s="42">
        <v>4144</v>
      </c>
    </row>
    <row r="42" spans="1:13" ht="14.25" customHeight="1">
      <c r="A42" s="3" t="s">
        <v>1702</v>
      </c>
      <c r="B42" s="42">
        <v>38</v>
      </c>
      <c r="C42" s="42">
        <v>4200</v>
      </c>
      <c r="D42" s="42">
        <v>1443</v>
      </c>
      <c r="E42" s="42">
        <v>2353</v>
      </c>
      <c r="F42" s="42">
        <v>8034</v>
      </c>
    </row>
    <row r="43" spans="1:13" ht="14.25" customHeight="1">
      <c r="A43" s="46"/>
    </row>
    <row r="44" spans="1:13" ht="14.25" customHeight="1">
      <c r="A44" s="26" t="s">
        <v>1698</v>
      </c>
      <c r="B44" s="26" t="s">
        <v>1699</v>
      </c>
      <c r="C44" s="26" t="s">
        <v>1738</v>
      </c>
      <c r="D44" s="26" t="s">
        <v>1739</v>
      </c>
      <c r="E44" s="26" t="s">
        <v>1740</v>
      </c>
      <c r="F44" s="26" t="s">
        <v>1702</v>
      </c>
    </row>
    <row r="45" spans="1:13" ht="14.25" customHeight="1">
      <c r="A45" s="3" t="s">
        <v>1703</v>
      </c>
      <c r="B45" s="42">
        <v>110</v>
      </c>
      <c r="C45" s="42">
        <v>2234</v>
      </c>
      <c r="D45" s="42">
        <v>15</v>
      </c>
      <c r="E45" s="42">
        <v>4</v>
      </c>
      <c r="F45" s="42">
        <v>2363</v>
      </c>
    </row>
    <row r="46" spans="1:13" ht="14.25" customHeight="1">
      <c r="A46" s="3" t="s">
        <v>1704</v>
      </c>
      <c r="B46" s="42">
        <v>15</v>
      </c>
      <c r="C46" s="42">
        <v>458</v>
      </c>
      <c r="D46" s="42" t="s">
        <v>262</v>
      </c>
      <c r="E46" s="42">
        <v>3</v>
      </c>
      <c r="F46" s="42">
        <v>476</v>
      </c>
    </row>
    <row r="47" spans="1:13" ht="14.25" customHeight="1">
      <c r="A47" s="3" t="s">
        <v>876</v>
      </c>
      <c r="B47" s="42">
        <v>36</v>
      </c>
      <c r="C47" s="42">
        <v>1001</v>
      </c>
      <c r="D47" s="42">
        <v>12</v>
      </c>
      <c r="E47" s="42">
        <v>2</v>
      </c>
      <c r="F47" s="42">
        <v>1051</v>
      </c>
    </row>
    <row r="48" spans="1:13" ht="14.25" customHeight="1">
      <c r="A48" s="3" t="s">
        <v>1705</v>
      </c>
      <c r="B48" s="42">
        <v>265</v>
      </c>
      <c r="C48" s="42">
        <v>3829</v>
      </c>
      <c r="D48" s="42">
        <v>43</v>
      </c>
      <c r="E48" s="42">
        <v>7</v>
      </c>
      <c r="F48" s="42">
        <v>4144</v>
      </c>
    </row>
    <row r="49" spans="1:6" ht="14.25" customHeight="1">
      <c r="A49" s="3" t="s">
        <v>1702</v>
      </c>
      <c r="B49" s="42">
        <v>426</v>
      </c>
      <c r="C49" s="42">
        <v>7522</v>
      </c>
      <c r="D49" s="42">
        <v>70</v>
      </c>
      <c r="E49" s="42">
        <v>16</v>
      </c>
      <c r="F49" s="42">
        <v>8034</v>
      </c>
    </row>
    <row r="50" spans="1:6" ht="14.25" customHeight="1"/>
    <row r="51" spans="1:6" ht="14.25" customHeight="1"/>
    <row r="52" spans="1:6" ht="14.25" customHeight="1"/>
    <row r="53" spans="1:6" ht="43.5" customHeight="1">
      <c r="A53" s="62" t="s">
        <v>1741</v>
      </c>
      <c r="B53" s="63"/>
      <c r="C53" s="64"/>
    </row>
    <row r="54" spans="1:6" ht="14.25" customHeight="1">
      <c r="A54" s="49"/>
      <c r="B54" s="49"/>
      <c r="C54" s="49"/>
    </row>
    <row r="55" spans="1:6" ht="14.25" customHeight="1">
      <c r="A55" s="65" t="s">
        <v>1742</v>
      </c>
      <c r="B55" s="67" t="s">
        <v>1743</v>
      </c>
      <c r="C55" s="66"/>
    </row>
    <row r="56" spans="1:6" ht="14.25" customHeight="1">
      <c r="A56" s="66"/>
      <c r="B56" s="50" t="s">
        <v>1744</v>
      </c>
      <c r="C56" s="50" t="s">
        <v>1745</v>
      </c>
    </row>
    <row r="57" spans="1:6" ht="14.25" customHeight="1">
      <c r="A57" s="51" t="s">
        <v>1746</v>
      </c>
      <c r="B57" s="49"/>
      <c r="C57" s="49"/>
    </row>
    <row r="58" spans="1:6" ht="14.25" customHeight="1">
      <c r="A58" s="52" t="s">
        <v>1700</v>
      </c>
      <c r="B58" s="49">
        <v>728</v>
      </c>
      <c r="C58" s="53">
        <f t="shared" ref="C58:C60" si="0">B58*100/1289</f>
        <v>56.477889837083012</v>
      </c>
    </row>
    <row r="59" spans="1:6" ht="14.25" customHeight="1">
      <c r="A59" s="52" t="s">
        <v>1701</v>
      </c>
      <c r="B59" s="49">
        <v>560</v>
      </c>
      <c r="C59" s="53">
        <f t="shared" si="0"/>
        <v>43.444530643910007</v>
      </c>
      <c r="D59" s="44" t="s">
        <v>1747</v>
      </c>
      <c r="E59" s="44"/>
      <c r="F59" s="45"/>
    </row>
    <row r="60" spans="1:6" ht="14.25" customHeight="1">
      <c r="A60" s="52" t="s">
        <v>1699</v>
      </c>
      <c r="B60" s="49">
        <v>1</v>
      </c>
      <c r="C60" s="53">
        <f t="shared" si="0"/>
        <v>7.7579519006982151E-2</v>
      </c>
    </row>
    <row r="61" spans="1:6" ht="14.25" customHeight="1">
      <c r="A61" s="49"/>
      <c r="B61" s="49"/>
      <c r="C61" s="53"/>
    </row>
    <row r="62" spans="1:6" ht="14.25" customHeight="1">
      <c r="A62" s="51" t="s">
        <v>1748</v>
      </c>
      <c r="B62" s="49"/>
      <c r="C62" s="53"/>
    </row>
    <row r="63" spans="1:6" ht="14.25" customHeight="1">
      <c r="A63" s="54" t="s">
        <v>1749</v>
      </c>
      <c r="B63" s="49">
        <v>10</v>
      </c>
      <c r="C63" s="53">
        <f t="shared" ref="C63:C65" si="1">B63*100/1289</f>
        <v>0.77579519006982156</v>
      </c>
    </row>
    <row r="64" spans="1:6" ht="14.25" customHeight="1">
      <c r="A64" s="54" t="s">
        <v>1750</v>
      </c>
      <c r="B64" s="49">
        <v>58</v>
      </c>
      <c r="C64" s="53">
        <f t="shared" si="1"/>
        <v>4.4996121024049653</v>
      </c>
    </row>
    <row r="65" spans="1:3" ht="14.25" customHeight="1">
      <c r="A65" s="54" t="s">
        <v>1751</v>
      </c>
      <c r="B65" s="49">
        <v>1221</v>
      </c>
      <c r="C65" s="53">
        <f t="shared" si="1"/>
        <v>94.724592707525218</v>
      </c>
    </row>
    <row r="66" spans="1:3" ht="14.25" customHeight="1">
      <c r="A66" s="49"/>
      <c r="B66" s="49"/>
      <c r="C66" s="53"/>
    </row>
    <row r="67" spans="1:3" ht="14.25" customHeight="1">
      <c r="A67" s="51" t="s">
        <v>1752</v>
      </c>
      <c r="B67" s="49"/>
      <c r="C67" s="53"/>
    </row>
    <row r="68" spans="1:3" ht="14.25" customHeight="1">
      <c r="A68" s="52" t="s">
        <v>1706</v>
      </c>
      <c r="B68" s="49">
        <v>929</v>
      </c>
      <c r="C68" s="53">
        <f t="shared" ref="C68:C73" si="2">B68*100/1289</f>
        <v>72.07137315748642</v>
      </c>
    </row>
    <row r="69" spans="1:3" ht="14.25" customHeight="1">
      <c r="A69" s="52" t="s">
        <v>1707</v>
      </c>
      <c r="B69" s="49">
        <v>49</v>
      </c>
      <c r="C69" s="53">
        <f t="shared" si="2"/>
        <v>3.8013964313421256</v>
      </c>
    </row>
    <row r="70" spans="1:3" ht="14.25" customHeight="1">
      <c r="A70" s="52" t="s">
        <v>1709</v>
      </c>
      <c r="B70" s="49">
        <v>247</v>
      </c>
      <c r="C70" s="53">
        <f t="shared" si="2"/>
        <v>19.162141194724594</v>
      </c>
    </row>
    <row r="71" spans="1:3" ht="14.25" customHeight="1">
      <c r="A71" s="52" t="s">
        <v>1708</v>
      </c>
      <c r="B71" s="49">
        <v>1</v>
      </c>
      <c r="C71" s="53">
        <f t="shared" si="2"/>
        <v>7.7579519006982151E-2</v>
      </c>
    </row>
    <row r="72" spans="1:3" ht="14.25" customHeight="1">
      <c r="A72" s="52" t="s">
        <v>1753</v>
      </c>
      <c r="B72" s="49">
        <v>5</v>
      </c>
      <c r="C72" s="53">
        <f t="shared" si="2"/>
        <v>0.38789759503491078</v>
      </c>
    </row>
    <row r="73" spans="1:3" ht="14.25" customHeight="1">
      <c r="A73" s="52" t="s">
        <v>1754</v>
      </c>
      <c r="B73" s="49">
        <v>58</v>
      </c>
      <c r="C73" s="53">
        <f t="shared" si="2"/>
        <v>4.4996121024049653</v>
      </c>
    </row>
    <row r="74" spans="1:3" ht="14.25" customHeight="1">
      <c r="A74" s="49"/>
      <c r="B74" s="49"/>
      <c r="C74" s="53"/>
    </row>
    <row r="75" spans="1:3" ht="14.25" customHeight="1">
      <c r="A75" s="51" t="s">
        <v>1755</v>
      </c>
      <c r="B75" s="49"/>
      <c r="C75" s="53"/>
    </row>
    <row r="76" spans="1:3" ht="14.25" customHeight="1">
      <c r="A76" s="52" t="s">
        <v>1756</v>
      </c>
      <c r="B76" s="49">
        <v>342</v>
      </c>
      <c r="C76" s="53">
        <f t="shared" ref="C76:C78" si="3">B76*100/1289</f>
        <v>26.532195500387896</v>
      </c>
    </row>
    <row r="77" spans="1:3" ht="14.25" customHeight="1">
      <c r="A77" s="52" t="s">
        <v>1757</v>
      </c>
      <c r="B77" s="49">
        <v>338</v>
      </c>
      <c r="C77" s="53">
        <f t="shared" si="3"/>
        <v>26.22187742435997</v>
      </c>
    </row>
    <row r="78" spans="1:3" ht="14.25" customHeight="1">
      <c r="A78" s="52" t="s">
        <v>1699</v>
      </c>
      <c r="B78" s="49">
        <v>609</v>
      </c>
      <c r="C78" s="53">
        <f t="shared" si="3"/>
        <v>47.245927075252133</v>
      </c>
    </row>
    <row r="79" spans="1:3" ht="14.25" customHeight="1">
      <c r="A79" s="52"/>
      <c r="B79" s="49"/>
      <c r="C79" s="53"/>
    </row>
    <row r="80" spans="1:3" ht="14.25" customHeight="1">
      <c r="A80" s="51" t="s">
        <v>1758</v>
      </c>
      <c r="B80" s="49"/>
      <c r="C80" s="53"/>
    </row>
    <row r="81" spans="1:3" ht="14.25" customHeight="1">
      <c r="A81" s="55" t="s">
        <v>1759</v>
      </c>
      <c r="B81" s="49">
        <v>71</v>
      </c>
      <c r="C81" s="53">
        <f t="shared" ref="C81:C86" si="4">B81*100/1289</f>
        <v>5.5081458494957332</v>
      </c>
    </row>
    <row r="82" spans="1:3" ht="14.25" customHeight="1">
      <c r="A82" s="55" t="s">
        <v>1760</v>
      </c>
      <c r="B82" s="49">
        <v>68</v>
      </c>
      <c r="C82" s="53">
        <f t="shared" si="4"/>
        <v>5.275407292474787</v>
      </c>
    </row>
    <row r="83" spans="1:3" ht="14.25" customHeight="1">
      <c r="A83" s="55" t="s">
        <v>1761</v>
      </c>
      <c r="B83" s="49">
        <v>140</v>
      </c>
      <c r="C83" s="53">
        <f t="shared" si="4"/>
        <v>10.861132660977502</v>
      </c>
    </row>
    <row r="84" spans="1:3" ht="14.25" customHeight="1">
      <c r="A84" s="55" t="s">
        <v>1762</v>
      </c>
      <c r="B84" s="49">
        <v>325</v>
      </c>
      <c r="C84" s="53">
        <f t="shared" si="4"/>
        <v>25.213343677269201</v>
      </c>
    </row>
    <row r="85" spans="1:3" ht="14.25" customHeight="1">
      <c r="A85" s="55" t="s">
        <v>1763</v>
      </c>
      <c r="B85" s="49">
        <v>14</v>
      </c>
      <c r="C85" s="53">
        <f t="shared" si="4"/>
        <v>1.0861132660977502</v>
      </c>
    </row>
    <row r="86" spans="1:3" ht="14.25" customHeight="1">
      <c r="A86" s="52" t="s">
        <v>1764</v>
      </c>
      <c r="B86" s="49">
        <v>671</v>
      </c>
      <c r="C86" s="53">
        <f t="shared" si="4"/>
        <v>52.055857253685026</v>
      </c>
    </row>
    <row r="87" spans="1:3" ht="14.25" customHeight="1">
      <c r="A87" s="54"/>
      <c r="B87" s="49"/>
      <c r="C87" s="53"/>
    </row>
    <row r="88" spans="1:3" ht="14.25" customHeight="1">
      <c r="A88" s="51" t="s">
        <v>1765</v>
      </c>
      <c r="B88" s="49"/>
      <c r="C88" s="53"/>
    </row>
    <row r="89" spans="1:3" ht="14.25" customHeight="1">
      <c r="A89" s="52" t="s">
        <v>1766</v>
      </c>
      <c r="B89" s="49">
        <v>154</v>
      </c>
      <c r="C89" s="53">
        <f t="shared" ref="C89:C93" si="5">B89*100/1289</f>
        <v>11.947245927075253</v>
      </c>
    </row>
    <row r="90" spans="1:3" ht="14.25" customHeight="1">
      <c r="A90" s="56" t="s">
        <v>1767</v>
      </c>
      <c r="B90" s="57">
        <v>344</v>
      </c>
      <c r="C90" s="53">
        <f t="shared" si="5"/>
        <v>26.687354538401863</v>
      </c>
    </row>
    <row r="91" spans="1:3" ht="14.25" customHeight="1">
      <c r="A91" s="56" t="s">
        <v>1768</v>
      </c>
      <c r="B91" s="57">
        <v>181</v>
      </c>
      <c r="C91" s="53">
        <f t="shared" si="5"/>
        <v>14.04189294026377</v>
      </c>
    </row>
    <row r="92" spans="1:3" ht="14.25" customHeight="1">
      <c r="A92" s="52" t="s">
        <v>1769</v>
      </c>
      <c r="B92" s="49">
        <v>25</v>
      </c>
      <c r="C92" s="53">
        <f t="shared" si="5"/>
        <v>1.939487975174554</v>
      </c>
    </row>
    <row r="93" spans="1:3" ht="14.25" customHeight="1">
      <c r="A93" s="52" t="s">
        <v>1770</v>
      </c>
      <c r="B93" s="49">
        <v>585</v>
      </c>
      <c r="C93" s="53">
        <f t="shared" si="5"/>
        <v>45.384018619084564</v>
      </c>
    </row>
    <row r="94" spans="1:3" ht="14.25" customHeight="1">
      <c r="A94" s="49"/>
      <c r="B94" s="49"/>
      <c r="C94" s="53"/>
    </row>
    <row r="95" spans="1:3" ht="14.25" customHeight="1">
      <c r="A95" s="51" t="s">
        <v>1771</v>
      </c>
      <c r="B95" s="49"/>
      <c r="C95" s="53"/>
    </row>
    <row r="96" spans="1:3" ht="14.25" customHeight="1">
      <c r="A96" s="52" t="s">
        <v>1772</v>
      </c>
      <c r="B96" s="49">
        <v>49</v>
      </c>
      <c r="C96" s="53">
        <f t="shared" ref="C96:C101" si="6">B96*100/1289</f>
        <v>3.8013964313421256</v>
      </c>
    </row>
    <row r="97" spans="1:3" ht="14.25" customHeight="1">
      <c r="A97" s="52" t="s">
        <v>1773</v>
      </c>
      <c r="B97" s="49">
        <v>64</v>
      </c>
      <c r="C97" s="53">
        <f t="shared" si="6"/>
        <v>4.9650892164468576</v>
      </c>
    </row>
    <row r="98" spans="1:3" ht="14.25" customHeight="1">
      <c r="A98" s="52" t="s">
        <v>1774</v>
      </c>
      <c r="B98" s="49">
        <v>197</v>
      </c>
      <c r="C98" s="53">
        <f t="shared" si="6"/>
        <v>15.283165244375486</v>
      </c>
    </row>
    <row r="99" spans="1:3" ht="14.25" customHeight="1">
      <c r="A99" s="52" t="s">
        <v>1775</v>
      </c>
      <c r="B99" s="49">
        <v>295</v>
      </c>
      <c r="C99" s="53">
        <f t="shared" si="6"/>
        <v>22.885958107059736</v>
      </c>
    </row>
    <row r="100" spans="1:3" ht="14.25" customHeight="1">
      <c r="A100" s="52" t="s">
        <v>1776</v>
      </c>
      <c r="B100" s="49">
        <v>48</v>
      </c>
      <c r="C100" s="53">
        <f t="shared" si="6"/>
        <v>3.7238169123351437</v>
      </c>
    </row>
    <row r="101" spans="1:3" ht="14.25" customHeight="1">
      <c r="A101" s="52" t="s">
        <v>1699</v>
      </c>
      <c r="B101" s="49">
        <v>636</v>
      </c>
      <c r="C101" s="53">
        <f t="shared" si="6"/>
        <v>49.340574088440654</v>
      </c>
    </row>
    <row r="102" spans="1:3" ht="14.25" customHeight="1">
      <c r="A102" s="49"/>
      <c r="B102" s="49"/>
      <c r="C102" s="49"/>
    </row>
    <row r="103" spans="1:3" ht="14.25" customHeight="1">
      <c r="A103" s="51" t="s">
        <v>2</v>
      </c>
      <c r="B103" s="49">
        <v>1289</v>
      </c>
      <c r="C103" s="49">
        <f>B103*100/1289</f>
        <v>100</v>
      </c>
    </row>
    <row r="104" spans="1:3" ht="14.25" customHeight="1"/>
    <row r="105" spans="1:3" ht="14.25" customHeight="1"/>
    <row r="106" spans="1:3" ht="14.25" customHeight="1"/>
    <row r="107" spans="1:3" ht="14.25" customHeight="1"/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A53:C53"/>
    <mergeCell ref="A55:A56"/>
    <mergeCell ref="B55:C55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SÃO PAULO</vt:lpstr>
      <vt:lpstr>RIO DE JANEIRO</vt:lpstr>
      <vt:lpstr>ESPÍRITO SANTO</vt:lpstr>
      <vt:lpstr>MINAS GERAIS</vt:lpstr>
      <vt:lpstr>VACINAÇÃO </vt:lpstr>
      <vt:lpstr>ANÁLISE TEMPORAL</vt:lpstr>
      <vt:lpstr>SOCIODEMOGRAFICO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Katyucia Crispim</dc:creator>
  <cp:lastModifiedBy>Neiva Goncalves</cp:lastModifiedBy>
  <dcterms:created xsi:type="dcterms:W3CDTF">2025-09-03T12:04:37Z</dcterms:created>
  <dcterms:modified xsi:type="dcterms:W3CDTF">2026-04-23T11:50:22Z</dcterms:modified>
</cp:coreProperties>
</file>